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 M Taha\Documents\SEMESTER 1\AICTL\final project\"/>
    </mc:Choice>
  </mc:AlternateContent>
  <xr:revisionPtr revIDLastSave="0" documentId="13_ncr:1_{42B711F2-EAEF-4F0A-A2F5-1A37DD6178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nu" sheetId="1" r:id="rId1"/>
    <sheet name="Deals" sheetId="8" r:id="rId2"/>
    <sheet name="Orders" sheetId="2" r:id="rId3"/>
    <sheet name="Pizza" sheetId="4" r:id="rId4"/>
    <sheet name="Rolls and Warps" sheetId="5" r:id="rId5"/>
    <sheet name="Burgers" sheetId="3" r:id="rId6"/>
    <sheet name="Starters" sheetId="6" r:id="rId7"/>
    <sheet name="Light Veg" sheetId="9" r:id="rId8"/>
    <sheet name="Fries" sheetId="7" r:id="rId9"/>
    <sheet name="Combo Deals" sheetId="10" r:id="rId10"/>
    <sheet name="Business" sheetId="11" r:id="rId11"/>
  </sheets>
  <definedNames>
    <definedName name="_xlnm._FilterDatabase" localSheetId="0" hidden="1">Menu!$O$5:$O$5</definedName>
    <definedName name="Burgers">Menu!$I$5:$I$14</definedName>
    <definedName name="Fries">Menu!$I$35:$I$37</definedName>
    <definedName name="Light">Menu!$I$38:$I$41</definedName>
    <definedName name="Pizzas">Menu!$I$15:$I$19</definedName>
    <definedName name="Rolls">Menu!$I$20:$I$26</definedName>
    <definedName name="Starters">Menu!$I$27:$I$34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1" l="1"/>
  <c r="Q7" i="2"/>
  <c r="G16" i="11"/>
  <c r="H12" i="10"/>
  <c r="E8" i="9"/>
  <c r="H5" i="10"/>
  <c r="H6" i="10"/>
  <c r="H7" i="10"/>
  <c r="H8" i="10"/>
  <c r="H9" i="10"/>
  <c r="H10" i="10"/>
  <c r="H11" i="10"/>
  <c r="H4" i="10"/>
  <c r="G5" i="9"/>
  <c r="G6" i="9"/>
  <c r="G7" i="9"/>
  <c r="G4" i="9"/>
  <c r="G8" i="9" s="1"/>
  <c r="F6" i="7"/>
  <c r="F7" i="7"/>
  <c r="F5" i="7"/>
  <c r="F8" i="7" s="1"/>
  <c r="F7" i="6"/>
  <c r="F8" i="6"/>
  <c r="F9" i="6"/>
  <c r="F10" i="6"/>
  <c r="F11" i="6"/>
  <c r="F6" i="6"/>
  <c r="F12" i="6" s="1"/>
  <c r="G11" i="11" s="1"/>
  <c r="F6" i="5"/>
  <c r="F10" i="5" s="1"/>
  <c r="G14" i="11" s="1"/>
  <c r="F7" i="5"/>
  <c r="F8" i="5"/>
  <c r="F9" i="5"/>
  <c r="F5" i="5"/>
  <c r="H7" i="4"/>
  <c r="H8" i="4"/>
  <c r="H9" i="4"/>
  <c r="H10" i="4"/>
  <c r="H11" i="4"/>
  <c r="H6" i="4"/>
  <c r="H12" i="4" s="1"/>
  <c r="G12" i="11" s="1"/>
  <c r="F6" i="3"/>
  <c r="F7" i="3"/>
  <c r="F8" i="3"/>
  <c r="F9" i="3"/>
  <c r="F10" i="3"/>
  <c r="F11" i="3"/>
  <c r="F12" i="3"/>
  <c r="F5" i="3"/>
  <c r="Q36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F12" i="10"/>
  <c r="D8" i="7"/>
  <c r="F15" i="11" s="1"/>
  <c r="D12" i="6"/>
  <c r="D10" i="5"/>
  <c r="F14" i="11" s="1"/>
  <c r="F12" i="4"/>
  <c r="F12" i="11" s="1"/>
  <c r="D13" i="3"/>
  <c r="F10" i="11" s="1"/>
  <c r="F13" i="11" l="1"/>
  <c r="F13" i="3"/>
  <c r="G13" i="11" s="1"/>
  <c r="G17" i="11" s="1"/>
  <c r="F17" i="11"/>
</calcChain>
</file>

<file path=xl/sharedStrings.xml><?xml version="1.0" encoding="utf-8"?>
<sst xmlns="http://schemas.openxmlformats.org/spreadsheetml/2006/main" count="497" uniqueCount="198">
  <si>
    <t xml:space="preserve">Menu </t>
  </si>
  <si>
    <t>Category</t>
  </si>
  <si>
    <t>Item Name</t>
  </si>
  <si>
    <t>Price (Rs)</t>
  </si>
  <si>
    <t>Details</t>
  </si>
  <si>
    <t>Burgers</t>
  </si>
  <si>
    <t>Classic Beef</t>
  </si>
  <si>
    <t>Traditional juicy beef patty with classic toppings.</t>
  </si>
  <si>
    <t>Mighty Burger</t>
  </si>
  <si>
    <t>A large, filling burger for a hearty appetite.</t>
  </si>
  <si>
    <t>Zinger Burger</t>
  </si>
  <si>
    <t>Crispy fried chicken fillet with a signature spicy kick.</t>
  </si>
  <si>
    <t>Juicy Burger</t>
  </si>
  <si>
    <t>Extra succulent patty with premium sauces.</t>
  </si>
  <si>
    <t>BBQ Chicken Burger</t>
  </si>
  <si>
    <t>Grilled chicken smothered in smoky BBQ sauce.</t>
  </si>
  <si>
    <t>Food Junction Special</t>
  </si>
  <si>
    <t>The chef's signature burger with exclusive ingredients.</t>
  </si>
  <si>
    <t>Paneer Tikka Burger</t>
  </si>
  <si>
    <t>Vegetarian delight featuring spiced paneer cubes.</t>
  </si>
  <si>
    <t>Double Patty Chicken</t>
  </si>
  <si>
    <t>Two crispy chicken patties for double the flavor.</t>
  </si>
  <si>
    <t>Melt Master Burger</t>
  </si>
  <si>
    <t>Loaded with extra melted cheese and premium toppings.</t>
  </si>
  <si>
    <t>Spice Blast Burger</t>
  </si>
  <si>
    <t>For spice lovers, packed with hot peppers and sauce.</t>
  </si>
  <si>
    <t>Pizzas</t>
  </si>
  <si>
    <t>Chicken Fajita (S/M/L)</t>
  </si>
  <si>
    <t>650 / 1050 / 1650</t>
  </si>
  <si>
    <t>Topped with fajita chicken, onions, and bell peppers.</t>
  </si>
  <si>
    <t>Chicken Tikka (S/M/L)</t>
  </si>
  <si>
    <t>Classic local flavor with spicy chicken tikka chunks.</t>
  </si>
  <si>
    <t>Malai Boti (S/M/L)</t>
  </si>
  <si>
    <t>700 / 1150 / 1750</t>
  </si>
  <si>
    <t>Creamy and mild chicken boti with a soft texture.</t>
  </si>
  <si>
    <t>Chicken Teriyaki (S/M/L)</t>
  </si>
  <si>
    <t>Exotic sweet and savory teriyaki glazed chicken.</t>
  </si>
  <si>
    <t>Veggie Supreme (S/M/L)</t>
  </si>
  <si>
    <t>600 / 1000 / 1550</t>
  </si>
  <si>
    <t>Loaded with fresh garden vegetables and olives.</t>
  </si>
  <si>
    <t>Rolls &amp; Wraps</t>
  </si>
  <si>
    <t>Ro</t>
  </si>
  <si>
    <t>Succulent chicken chunks wrapped with creamy mayo.</t>
  </si>
  <si>
    <t>Twister Roll</t>
  </si>
  <si>
    <t>Crispy chicken strips with fresh salad in a soft wrap.</t>
  </si>
  <si>
    <t>Beef Kabab Roll</t>
  </si>
  <si>
    <t>Traditional seekh kabab wrapped in a paratha/tortilla.</t>
  </si>
  <si>
    <t>Grilled Wrap</t>
  </si>
  <si>
    <t>Healthy grilled chicken with fresh veggies.</t>
  </si>
  <si>
    <t>Tortilla Wrap</t>
  </si>
  <si>
    <t>Large tortilla stuffed with premium fillings.</t>
  </si>
  <si>
    <t>Chicken Shawarma Wrap</t>
  </si>
  <si>
    <t>Authentic thinly sliced chicken with garlic sauce.</t>
  </si>
  <si>
    <t>Veggie Delight Wrap</t>
  </si>
  <si>
    <t>A fresh mix of sautéed and raw vegetables.</t>
  </si>
  <si>
    <t>Starters</t>
  </si>
  <si>
    <t>trs</t>
  </si>
  <si>
    <t>Golden fried chicken nuggets.</t>
  </si>
  <si>
    <t>Hot Wings (10 pcs)</t>
  </si>
  <si>
    <t>Spicy breaded wings served hot.</t>
  </si>
  <si>
    <t>Honey Wings (10 pcs)</t>
  </si>
  <si>
    <t>Sweet and tangy glazed chicken wings.</t>
  </si>
  <si>
    <t>Tuna Pasta</t>
  </si>
  <si>
    <t>Cold/Hot pasta tossed with premium tuna.</t>
  </si>
  <si>
    <t>Cheese Pasta</t>
  </si>
  <si>
    <t>Rich, creamy pasta loaded with melted cheese.</t>
  </si>
  <si>
    <t>Russian Salad</t>
  </si>
  <si>
    <t>Classic creamy salad with fruits and vegetables.</t>
  </si>
  <si>
    <t>Dynamite Chicken Bites</t>
  </si>
  <si>
    <t>Popcorn chicken tossed in spicy dynamite sauce.</t>
  </si>
  <si>
    <t>Crispy Onion Rings</t>
  </si>
  <si>
    <t>Batter-fried golden onion rings.</t>
  </si>
  <si>
    <t>Fries</t>
  </si>
  <si>
    <t>Regular Fries</t>
  </si>
  <si>
    <t>Classic salted golden potato fries.</t>
  </si>
  <si>
    <t>Loaded Fries</t>
  </si>
  <si>
    <t>Fries topped with chicken, cheese, and sauces.</t>
  </si>
  <si>
    <t>Pizza Fries</t>
  </si>
  <si>
    <t>Fries topped with pizza sauce, cheese, and olives.</t>
  </si>
  <si>
    <t>Light Veg</t>
  </si>
  <si>
    <t>Fresh Garden Salad</t>
  </si>
  <si>
    <t>Mix of seasonal fresh vegetables.</t>
  </si>
  <si>
    <t>Anday Wala Burger</t>
  </si>
  <si>
    <t>Traditional street-style egg burger.</t>
  </si>
  <si>
    <t>Samosa Chaat</t>
  </si>
  <si>
    <t>Tangy and spicy chickpea mash with samosas.</t>
  </si>
  <si>
    <t>Fruit Chaat</t>
  </si>
  <si>
    <t>Fresh seasonal fruits with local spices.</t>
  </si>
  <si>
    <t>Combo Deal</t>
  </si>
  <si>
    <t>Family Pizza Pack</t>
  </si>
  <si>
    <t>The Burger Feast</t>
  </si>
  <si>
    <t>Urban Feast Deal</t>
  </si>
  <si>
    <t>Chicken Crunch Deal</t>
  </si>
  <si>
    <t>Pizza Lover's Delight</t>
  </si>
  <si>
    <t>Roll &amp; Wrap Special</t>
  </si>
  <si>
    <t>Starter Explosion</t>
  </si>
  <si>
    <t>Veggie Feast Deal</t>
  </si>
  <si>
    <t>Deals</t>
  </si>
  <si>
    <t>Price (Rs.)</t>
  </si>
  <si>
    <t>Description / Includes</t>
  </si>
  <si>
    <t>2 Medium Pizzas + 1L Drink + Regular Fries</t>
  </si>
  <si>
    <t>5 Zinger Burgers + 2L Drink + 2 Fries</t>
  </si>
  <si>
    <t>1 Mighty Burger + 1 Plain Fries + 1 Reg Drink</t>
  </si>
  <si>
    <t>10 Nuggets + 10 Hotwings + 10 Honey wings + 1.5L Drink + 2 Fries</t>
  </si>
  <si>
    <t>Chicken Fajita (M) + Chicken Tikka (M) + Regular Fries</t>
  </si>
  <si>
    <t>Chicken Mayo Roll + Beef Kabab Roll + Tortilla Wrap + Veggie Delight Wrap</t>
  </si>
  <si>
    <t>Nuggets (10 pcs) + Hot Wings (10 pcs) + Crispy Onion Rings</t>
  </si>
  <si>
    <t>Veggie Supreme (L) + Paneer Tikka Burger + Loaded Fries + Garden Salad</t>
  </si>
  <si>
    <t>ORDERS</t>
  </si>
  <si>
    <t>Customer Name</t>
  </si>
  <si>
    <t>Item 2</t>
  </si>
  <si>
    <t>Order #</t>
  </si>
  <si>
    <t>Item 1</t>
  </si>
  <si>
    <t>Qty</t>
  </si>
  <si>
    <t>Price</t>
  </si>
  <si>
    <t>Grand Total (Rs.)</t>
  </si>
  <si>
    <t>Ahmed Mansoor</t>
  </si>
  <si>
    <t>Sara Siddiqui</t>
  </si>
  <si>
    <t>Chicken Fajita (M)</t>
  </si>
  <si>
    <t>Combo</t>
  </si>
  <si>
    <t>Bilal Khan</t>
  </si>
  <si>
    <t>Fatima Zahra</t>
  </si>
  <si>
    <t>Zaid Ali</t>
  </si>
  <si>
    <t>Mariam Jameel</t>
  </si>
  <si>
    <t>Hot Wings (10pcs)</t>
  </si>
  <si>
    <t>Hamza Sheikh</t>
  </si>
  <si>
    <t>Aisha Noor</t>
  </si>
  <si>
    <t>Usman Ghani</t>
  </si>
  <si>
    <t>Hina Malik</t>
  </si>
  <si>
    <t>Malai Boti (L)</t>
  </si>
  <si>
    <t>Omer Farooq</t>
  </si>
  <si>
    <t>Dynamite Chicken</t>
  </si>
  <si>
    <t>Sana Tariq</t>
  </si>
  <si>
    <t>Rolls</t>
  </si>
  <si>
    <t>Zainab Bibi</t>
  </si>
  <si>
    <t>Honey Wings (10pcs)</t>
  </si>
  <si>
    <t>Haris Mehmood</t>
  </si>
  <si>
    <t>Rabia Khan</t>
  </si>
  <si>
    <t>Mustafa Kamal</t>
  </si>
  <si>
    <t>Nuggets (10 pcs)</t>
  </si>
  <si>
    <t>Amna Shah</t>
  </si>
  <si>
    <t>Chicken Teriyaki (M)</t>
  </si>
  <si>
    <t>Daniyal Asif</t>
  </si>
  <si>
    <t>Kiran Waqar</t>
  </si>
  <si>
    <t>Saad Siddiqui</t>
  </si>
  <si>
    <t>Laiba Mansoor</t>
  </si>
  <si>
    <t>Arsalan Baig</t>
  </si>
  <si>
    <t>Nida Hassan</t>
  </si>
  <si>
    <t>Fawad Chaudhry</t>
  </si>
  <si>
    <t>Mahnoor Javed</t>
  </si>
  <si>
    <t>Chicken Tikka (S)</t>
  </si>
  <si>
    <t>Kashif Mehmood</t>
  </si>
  <si>
    <t>Bisma Lodhi</t>
  </si>
  <si>
    <t>Taha Rizvi</t>
  </si>
  <si>
    <t>Eshal Fatima</t>
  </si>
  <si>
    <t>Malai Boti (S)</t>
  </si>
  <si>
    <t>Raza Abidi</t>
  </si>
  <si>
    <t>Total quantity</t>
  </si>
  <si>
    <t>Unit Price RS-/</t>
  </si>
  <si>
    <t>Total Sum</t>
  </si>
  <si>
    <t>Unit Price (Rs.)</t>
  </si>
  <si>
    <t>Total Sum (Rs.)</t>
  </si>
  <si>
    <t>TOTAL</t>
  </si>
  <si>
    <t>—</t>
  </si>
  <si>
    <t xml:space="preserve">Pizza </t>
  </si>
  <si>
    <t>Total Quantity</t>
  </si>
  <si>
    <t>Chicken Fajita (L)</t>
  </si>
  <si>
    <t>Total Pizzas</t>
  </si>
  <si>
    <t>Chicken Mayo Roll</t>
  </si>
  <si>
    <t>Total</t>
  </si>
  <si>
    <t>Total Starters</t>
  </si>
  <si>
    <t>Total Light Veg</t>
  </si>
  <si>
    <t>Combo Deals</t>
  </si>
  <si>
    <t>Total Deals</t>
  </si>
  <si>
    <t>Total Items Sold</t>
  </si>
  <si>
    <t>Total Revenue (Rs.)</t>
  </si>
  <si>
    <t>Light Veg &amp; More</t>
  </si>
  <si>
    <t>GRAND TOTAL</t>
  </si>
  <si>
    <t xml:space="preserve">Business </t>
  </si>
  <si>
    <t>FOOD JUNCTION - SALES DASHBOARD</t>
  </si>
  <si>
    <t>COMBO</t>
  </si>
  <si>
    <t>TOTAL ORDERS</t>
  </si>
  <si>
    <t>AVG ORDER VALUE</t>
  </si>
  <si>
    <t>TOP CATEGORY</t>
  </si>
  <si>
    <t>TOTAL REVENUE</t>
  </si>
  <si>
    <t>Most Sold Item</t>
  </si>
  <si>
    <t>The Buger Feast &amp; Urban Feast Deal</t>
  </si>
  <si>
    <t>Hot Wings</t>
  </si>
  <si>
    <t>Malai Boti</t>
  </si>
  <si>
    <t>Item name</t>
  </si>
  <si>
    <t>Column1</t>
  </si>
  <si>
    <t>Column2</t>
  </si>
  <si>
    <t>Column3</t>
  </si>
  <si>
    <t>Column4</t>
  </si>
  <si>
    <t>Column5</t>
  </si>
  <si>
    <t>Column6</t>
  </si>
  <si>
    <t>RS 89,550</t>
  </si>
  <si>
    <t>RS 2,985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</si>
</sst>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charset val="134"/>
    </font>
    <font>
      <sz val="10"/>
      <color theme="1"/>
      <name val="Segoe UI"/>
      <family val="2"/>
    </font>
    <font>
      <b/>
      <sz val="14"/>
      <color theme="0"/>
      <name val="Calibri"/>
      <family val="2"/>
      <charset val="134"/>
    </font>
    <font>
      <b/>
      <sz val="14"/>
      <color theme="0"/>
      <name val="Calibri"/>
      <family val="2"/>
    </font>
    <font>
      <b/>
      <sz val="24"/>
      <color theme="0"/>
      <name val="Calibri"/>
      <family val="2"/>
      <scheme val="minor"/>
    </font>
    <font>
      <sz val="11"/>
      <color theme="1"/>
      <name val="Segoe UI"/>
      <family val="2"/>
    </font>
    <font>
      <b/>
      <sz val="20"/>
      <color theme="0"/>
      <name val="Segoe UI"/>
      <family val="2"/>
    </font>
    <font>
      <b/>
      <sz val="14"/>
      <color theme="0"/>
      <name val="Segoe UI"/>
      <family val="2"/>
    </font>
    <font>
      <b/>
      <sz val="20"/>
      <color rgb="FF000000"/>
      <name val="Segoe UI"/>
      <family val="2"/>
    </font>
    <font>
      <b/>
      <sz val="12"/>
      <color theme="0"/>
      <name val="Segoe UI"/>
      <family val="2"/>
    </font>
    <font>
      <b/>
      <sz val="14"/>
      <color rgb="FFFFFFFF"/>
      <name val="Segoe UI"/>
      <family val="2"/>
    </font>
    <font>
      <b/>
      <sz val="12"/>
      <color theme="1"/>
      <name val="Segoe UI"/>
      <family val="2"/>
    </font>
    <font>
      <b/>
      <sz val="16"/>
      <color theme="0"/>
      <name val="Segoe UI"/>
      <family val="2"/>
    </font>
    <font>
      <sz val="10"/>
      <color rgb="FF000000"/>
      <name val="Segoe UI"/>
      <family val="2"/>
    </font>
    <font>
      <b/>
      <sz val="18"/>
      <color theme="0"/>
      <name val="Segoe UI"/>
      <family val="2"/>
    </font>
    <font>
      <b/>
      <sz val="18"/>
      <color theme="1"/>
      <name val="Segoe UI"/>
      <family val="2"/>
    </font>
    <font>
      <b/>
      <sz val="11"/>
      <color theme="0"/>
      <name val="Segoe UI"/>
      <family val="2"/>
    </font>
    <font>
      <sz val="10"/>
      <color theme="0"/>
      <name val="Segoe UI"/>
      <family val="2"/>
    </font>
    <font>
      <sz val="11"/>
      <color theme="0"/>
      <name val="Segoe UI"/>
      <family val="2"/>
    </font>
    <font>
      <sz val="12"/>
      <color theme="1"/>
      <name val="Segoe UI"/>
      <family val="2"/>
    </font>
    <font>
      <sz val="12"/>
      <color theme="0"/>
      <name val="Segoe UI"/>
      <family val="2"/>
    </font>
    <font>
      <b/>
      <sz val="10"/>
      <color theme="0"/>
      <name val="Segoe UI"/>
      <family val="2"/>
    </font>
    <font>
      <b/>
      <sz val="28"/>
      <color theme="0"/>
      <name val="Segoe UI"/>
      <family val="2"/>
    </font>
    <font>
      <b/>
      <sz val="26"/>
      <color theme="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192A5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92A56"/>
      </left>
      <right/>
      <top style="thin">
        <color rgb="FF192A56"/>
      </top>
      <bottom/>
      <diagonal/>
    </border>
    <border>
      <left/>
      <right/>
      <top style="thin">
        <color rgb="FF192A56"/>
      </top>
      <bottom/>
      <diagonal/>
    </border>
    <border>
      <left/>
      <right style="thin">
        <color rgb="FF192A56"/>
      </right>
      <top style="thin">
        <color rgb="FF192A56"/>
      </top>
      <bottom/>
      <diagonal/>
    </border>
    <border>
      <left/>
      <right/>
      <top/>
      <bottom style="thin">
        <color rgb="FFF7F7F7"/>
      </bottom>
      <diagonal/>
    </border>
    <border>
      <left style="thin">
        <color rgb="FF192A56"/>
      </left>
      <right/>
      <top/>
      <bottom/>
      <diagonal/>
    </border>
    <border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  <diagonal/>
    </border>
    <border>
      <left style="thin">
        <color rgb="FF192A56"/>
      </left>
      <right/>
      <top/>
      <bottom style="thin">
        <color rgb="FF192A56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192A56"/>
      </bottom>
      <diagonal/>
    </border>
    <border>
      <left/>
      <right style="thin">
        <color rgb="FF192A56"/>
      </right>
      <top/>
      <bottom style="thin">
        <color rgb="FF192A56"/>
      </bottom>
      <diagonal/>
    </border>
    <border>
      <left style="thin">
        <color rgb="FF192A56"/>
      </left>
      <right style="thin">
        <color rgb="FFF7F7F7"/>
      </right>
      <top style="thin">
        <color rgb="FFF7F7F7"/>
      </top>
      <bottom style="thin">
        <color rgb="FFF7F7F7"/>
      </bottom>
      <diagonal/>
    </border>
    <border>
      <left style="thin">
        <color rgb="FFF7F7F7"/>
      </left>
      <right style="thin">
        <color rgb="FF192A56"/>
      </right>
      <top style="thin">
        <color rgb="FFF7F7F7"/>
      </top>
      <bottom style="thin">
        <color rgb="FFF7F7F7"/>
      </bottom>
      <diagonal/>
    </border>
    <border>
      <left/>
      <right style="thin">
        <color rgb="FF192A56"/>
      </right>
      <top/>
      <bottom/>
      <diagonal/>
    </border>
    <border>
      <left/>
      <right style="thin">
        <color rgb="FFF7F7F7"/>
      </right>
      <top style="thin">
        <color rgb="FFF7F7F7"/>
      </top>
      <bottom style="thin">
        <color rgb="FFF7F7F7"/>
      </bottom>
      <diagonal/>
    </border>
    <border>
      <left style="thin">
        <color rgb="FFF7F7F7"/>
      </left>
      <right style="thin">
        <color rgb="FFF7F7F7"/>
      </right>
      <top style="thin">
        <color rgb="FFF7F7F7"/>
      </top>
      <bottom/>
      <diagonal/>
    </border>
    <border>
      <left style="thin">
        <color rgb="FFF7F7F7"/>
      </left>
      <right style="thin">
        <color rgb="FFF7F7F7"/>
      </right>
      <top/>
      <bottom style="thin">
        <color rgb="FFF7F7F7"/>
      </bottom>
      <diagonal/>
    </border>
    <border>
      <left style="thin">
        <color rgb="FFF7F7F7"/>
      </left>
      <right/>
      <top style="thin">
        <color rgb="FFF7F7F7"/>
      </top>
      <bottom/>
      <diagonal/>
    </border>
    <border>
      <left/>
      <right style="thin">
        <color rgb="FFF7F7F7"/>
      </right>
      <top style="thin">
        <color rgb="FFF7F7F7"/>
      </top>
      <bottom/>
      <diagonal/>
    </border>
    <border>
      <left style="thin">
        <color rgb="FFF7F7F7"/>
      </left>
      <right/>
      <top/>
      <bottom style="thin">
        <color rgb="FFF7F7F7"/>
      </bottom>
      <diagonal/>
    </border>
    <border>
      <left/>
      <right style="thin">
        <color rgb="FFF7F7F7"/>
      </right>
      <top/>
      <bottom style="thin">
        <color rgb="FFF7F7F7"/>
      </bottom>
      <diagonal/>
    </border>
    <border>
      <left style="thin">
        <color rgb="FF192A56"/>
      </left>
      <right style="thin">
        <color theme="1" tint="0.499984740745262"/>
      </right>
      <top/>
      <bottom style="thin">
        <color rgb="FF192A56"/>
      </bottom>
      <diagonal/>
    </border>
    <border>
      <left style="thin">
        <color theme="1" tint="0.499984740745262"/>
      </left>
      <right style="thin">
        <color rgb="FF192A56"/>
      </right>
      <top/>
      <bottom style="thin">
        <color rgb="FF192A56"/>
      </bottom>
      <diagonal/>
    </border>
    <border>
      <left/>
      <right style="thin">
        <color rgb="FF192A56"/>
      </right>
      <top/>
      <bottom style="thin">
        <color rgb="FF000000"/>
      </bottom>
      <diagonal/>
    </border>
    <border>
      <left/>
      <right/>
      <top/>
      <bottom style="thin">
        <color rgb="FF192A56"/>
      </bottom>
      <diagonal/>
    </border>
    <border>
      <left style="thin">
        <color rgb="FF192A56"/>
      </left>
      <right style="thin">
        <color theme="1" tint="0.499984740745262"/>
      </right>
      <top style="thin">
        <color rgb="FF192A56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rgb="FF192A56"/>
      </right>
      <top style="thin">
        <color rgb="FF192A56"/>
      </top>
      <bottom style="thin">
        <color theme="1" tint="0.499984740745262"/>
      </bottom>
      <diagonal/>
    </border>
    <border>
      <left style="thin">
        <color rgb="FF192A56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192A56"/>
      </left>
      <right/>
      <top style="thin">
        <color theme="1" tint="0.499984740745262"/>
      </top>
      <bottom/>
      <diagonal/>
    </border>
    <border>
      <left/>
      <right style="thin">
        <color rgb="FF192A56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192A56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192A56"/>
      </top>
      <bottom/>
      <diagonal/>
    </border>
    <border>
      <left style="thin">
        <color rgb="FFF7F7F7"/>
      </left>
      <right/>
      <top style="thin">
        <color rgb="FFF7F7F7"/>
      </top>
      <bottom style="thin">
        <color rgb="FFF7F7F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theme="1" tint="0.499984740745262"/>
      </right>
      <top/>
      <bottom style="thin">
        <color rgb="FF192A56"/>
      </bottom>
      <diagonal/>
    </border>
    <border>
      <left style="thin">
        <color theme="1" tint="0.499984740745262"/>
      </left>
      <right/>
      <top/>
      <bottom style="thin">
        <color rgb="FF192A56"/>
      </bottom>
      <diagonal/>
    </border>
    <border>
      <left/>
      <right style="thin">
        <color rgb="FFFFFFFF"/>
      </right>
      <top style="thin">
        <color rgb="FFFFFFFF"/>
      </top>
      <bottom style="thin">
        <color rgb="FF192A5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92A56"/>
      </bottom>
      <diagonal/>
    </border>
    <border>
      <left style="thin">
        <color rgb="FFFFFFFF"/>
      </left>
      <right/>
      <top style="thin">
        <color rgb="FFFFFFFF"/>
      </top>
      <bottom style="thin">
        <color rgb="FF192A56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2" xfId="0" applyFont="1" applyFill="1" applyBorder="1" applyAlignment="1">
      <alignment wrapText="1" readingOrder="1"/>
    </xf>
    <xf numFmtId="0" fontId="1" fillId="4" borderId="2" xfId="0" applyFont="1" applyFill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center" vertical="center" wrapText="1" readingOrder="1"/>
    </xf>
    <xf numFmtId="3" fontId="1" fillId="4" borderId="2" xfId="0" applyNumberFormat="1" applyFont="1" applyFill="1" applyBorder="1" applyAlignment="1">
      <alignment horizontal="center" vertical="center" readingOrder="1"/>
    </xf>
    <xf numFmtId="0" fontId="1" fillId="4" borderId="5" xfId="0" applyFont="1" applyFill="1" applyBorder="1" applyAlignment="1">
      <alignment horizontal="center" vertical="center" wrapText="1" readingOrder="1"/>
    </xf>
    <xf numFmtId="0" fontId="1" fillId="7" borderId="7" xfId="0" applyFont="1" applyFill="1" applyBorder="1" applyAlignment="1">
      <alignment horizontal="center" vertical="center" readingOrder="1"/>
    </xf>
    <xf numFmtId="0" fontId="0" fillId="0" borderId="7" xfId="0" applyBorder="1"/>
    <xf numFmtId="0" fontId="3" fillId="8" borderId="33" xfId="0" applyFont="1" applyFill="1" applyBorder="1"/>
    <xf numFmtId="0" fontId="0" fillId="2" borderId="33" xfId="0" applyFill="1" applyBorder="1"/>
    <xf numFmtId="0" fontId="3" fillId="8" borderId="35" xfId="0" applyFont="1" applyFill="1" applyBorder="1"/>
    <xf numFmtId="0" fontId="0" fillId="2" borderId="35" xfId="0" applyFill="1" applyBorder="1"/>
    <xf numFmtId="0" fontId="9" fillId="10" borderId="19" xfId="0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readingOrder="1"/>
    </xf>
    <xf numFmtId="0" fontId="1" fillId="2" borderId="13" xfId="0" applyFont="1" applyFill="1" applyBorder="1" applyAlignment="1">
      <alignment wrapText="1" readingOrder="1"/>
    </xf>
    <xf numFmtId="0" fontId="1" fillId="2" borderId="38" xfId="0" applyFont="1" applyFill="1" applyBorder="1" applyAlignment="1">
      <alignment wrapText="1" readingOrder="1"/>
    </xf>
    <xf numFmtId="0" fontId="5" fillId="0" borderId="20" xfId="0" applyFont="1" applyBorder="1" applyAlignment="1">
      <alignment horizontal="center" vertical="center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38" xfId="0" applyFont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 readingOrder="1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1" fillId="10" borderId="30" xfId="0" applyFont="1" applyFill="1" applyBorder="1" applyAlignment="1">
      <alignment horizontal="center" vertical="center" readingOrder="1"/>
    </xf>
    <xf numFmtId="0" fontId="1" fillId="10" borderId="30" xfId="0" applyFont="1" applyFill="1" applyBorder="1" applyAlignment="1">
      <alignment horizontal="center" vertical="center" wrapText="1" readingOrder="1"/>
    </xf>
    <xf numFmtId="0" fontId="9" fillId="10" borderId="12" xfId="0" applyFont="1" applyFill="1" applyBorder="1" applyAlignment="1">
      <alignment horizontal="center"/>
    </xf>
    <xf numFmtId="0" fontId="9" fillId="10" borderId="34" xfId="0" applyFont="1" applyFill="1" applyBorder="1"/>
    <xf numFmtId="0" fontId="9" fillId="10" borderId="12" xfId="0" applyFont="1" applyFill="1" applyBorder="1"/>
    <xf numFmtId="0" fontId="9" fillId="10" borderId="14" xfId="0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9" fillId="8" borderId="12" xfId="0" applyFont="1" applyFill="1" applyBorder="1"/>
    <xf numFmtId="0" fontId="11" fillId="8" borderId="40" xfId="0" applyFont="1" applyFill="1" applyBorder="1" applyAlignment="1">
      <alignment horizontal="center" vertical="center" readingOrder="1"/>
    </xf>
    <xf numFmtId="0" fontId="11" fillId="8" borderId="41" xfId="0" applyFont="1" applyFill="1" applyBorder="1" applyAlignment="1">
      <alignment horizontal="center" vertical="center" wrapText="1" readingOrder="1"/>
    </xf>
    <xf numFmtId="0" fontId="11" fillId="8" borderId="41" xfId="0" applyFont="1" applyFill="1" applyBorder="1" applyAlignment="1">
      <alignment horizontal="center" vertical="center" readingOrder="1"/>
    </xf>
    <xf numFmtId="0" fontId="11" fillId="8" borderId="42" xfId="0" applyFont="1" applyFill="1" applyBorder="1" applyAlignment="1">
      <alignment horizontal="center" vertical="center" wrapText="1" readingOrder="1"/>
    </xf>
    <xf numFmtId="0" fontId="5" fillId="8" borderId="3" xfId="0" applyFont="1" applyFill="1" applyBorder="1" applyAlignment="1">
      <alignment readingOrder="1"/>
    </xf>
    <xf numFmtId="0" fontId="9" fillId="8" borderId="19" xfId="0" applyFont="1" applyFill="1" applyBorder="1"/>
    <xf numFmtId="0" fontId="5" fillId="5" borderId="43" xfId="0" applyFont="1" applyFill="1" applyBorder="1" applyAlignment="1">
      <alignment horizontal="center" vertical="center" readingOrder="1"/>
    </xf>
    <xf numFmtId="0" fontId="5" fillId="5" borderId="39" xfId="0" applyFont="1" applyFill="1" applyBorder="1" applyAlignment="1">
      <alignment horizontal="center" vertical="center" wrapText="1" readingOrder="1"/>
    </xf>
    <xf numFmtId="3" fontId="5" fillId="5" borderId="39" xfId="0" applyNumberFormat="1" applyFont="1" applyFill="1" applyBorder="1" applyAlignment="1">
      <alignment horizontal="center" vertical="center" readingOrder="1"/>
    </xf>
    <xf numFmtId="0" fontId="5" fillId="5" borderId="44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readingOrder="1"/>
    </xf>
    <xf numFmtId="0" fontId="9" fillId="10" borderId="19" xfId="0" applyFont="1" applyFill="1" applyBorder="1"/>
    <xf numFmtId="0" fontId="5" fillId="0" borderId="43" xfId="0" applyFont="1" applyBorder="1" applyAlignment="1">
      <alignment horizontal="center" vertical="center" readingOrder="1"/>
    </xf>
    <xf numFmtId="0" fontId="5" fillId="0" borderId="39" xfId="0" applyFont="1" applyBorder="1" applyAlignment="1">
      <alignment horizontal="center" vertical="center" wrapText="1" readingOrder="1"/>
    </xf>
    <xf numFmtId="3" fontId="5" fillId="0" borderId="39" xfId="0" applyNumberFormat="1" applyFont="1" applyBorder="1" applyAlignment="1">
      <alignment horizontal="center" vertical="center" readingOrder="1"/>
    </xf>
    <xf numFmtId="0" fontId="5" fillId="0" borderId="44" xfId="0" applyFont="1" applyBorder="1" applyAlignment="1">
      <alignment horizontal="center" vertical="center" wrapText="1" readingOrder="1"/>
    </xf>
    <xf numFmtId="0" fontId="5" fillId="0" borderId="39" xfId="0" applyFont="1" applyBorder="1" applyAlignment="1">
      <alignment horizontal="center" vertical="center" readingOrder="1"/>
    </xf>
    <xf numFmtId="0" fontId="5" fillId="0" borderId="4" xfId="0" applyFont="1" applyBorder="1" applyAlignment="1">
      <alignment readingOrder="1"/>
    </xf>
    <xf numFmtId="0" fontId="5" fillId="0" borderId="45" xfId="0" applyFont="1" applyBorder="1" applyAlignment="1">
      <alignment horizontal="center" vertical="center" readingOrder="1"/>
    </xf>
    <xf numFmtId="0" fontId="5" fillId="0" borderId="46" xfId="0" applyFont="1" applyBorder="1" applyAlignment="1">
      <alignment horizontal="center" vertical="center" wrapText="1" readingOrder="1"/>
    </xf>
    <xf numFmtId="3" fontId="5" fillId="0" borderId="46" xfId="0" applyNumberFormat="1" applyFont="1" applyBorder="1" applyAlignment="1">
      <alignment horizontal="center" vertical="center" readingOrder="1"/>
    </xf>
    <xf numFmtId="0" fontId="5" fillId="0" borderId="47" xfId="0" applyFont="1" applyBorder="1" applyAlignment="1">
      <alignment horizontal="center" vertical="center" wrapText="1" readingOrder="1"/>
    </xf>
    <xf numFmtId="0" fontId="9" fillId="10" borderId="0" xfId="0" applyFont="1" applyFill="1"/>
    <xf numFmtId="0" fontId="9" fillId="10" borderId="30" xfId="0" applyFont="1" applyFill="1" applyBorder="1"/>
    <xf numFmtId="0" fontId="9" fillId="10" borderId="16" xfId="0" applyFont="1" applyFill="1" applyBorder="1"/>
    <xf numFmtId="0" fontId="12" fillId="0" borderId="0" xfId="0" applyFont="1" applyAlignment="1">
      <alignment vertical="center"/>
    </xf>
    <xf numFmtId="0" fontId="13" fillId="8" borderId="39" xfId="0" applyFont="1" applyFill="1" applyBorder="1" applyAlignment="1">
      <alignment horizontal="center" vertical="center" wrapText="1"/>
    </xf>
    <xf numFmtId="0" fontId="13" fillId="8" borderId="39" xfId="0" applyFont="1" applyFill="1" applyBorder="1" applyAlignment="1">
      <alignment horizontal="center" vertical="center" readingOrder="1"/>
    </xf>
    <xf numFmtId="0" fontId="13" fillId="8" borderId="39" xfId="0" applyFont="1" applyFill="1" applyBorder="1" applyAlignment="1">
      <alignment horizontal="center" vertical="center" wrapText="1" readingOrder="1"/>
    </xf>
    <xf numFmtId="0" fontId="14" fillId="8" borderId="39" xfId="0" applyFont="1" applyFill="1" applyBorder="1" applyAlignment="1">
      <alignment horizontal="center" vertical="center" readingOrder="1"/>
    </xf>
    <xf numFmtId="0" fontId="15" fillId="8" borderId="29" xfId="0" applyFont="1" applyFill="1" applyBorder="1" applyAlignment="1">
      <alignment horizontal="center" vertical="center" readingOrder="1"/>
    </xf>
    <xf numFmtId="0" fontId="15" fillId="7" borderId="1" xfId="0" applyFont="1" applyFill="1" applyBorder="1" applyAlignment="1">
      <alignment horizontal="center" vertical="center" readingOrder="1"/>
    </xf>
    <xf numFmtId="0" fontId="9" fillId="0" borderId="12" xfId="0" applyFont="1" applyBorder="1"/>
    <xf numFmtId="0" fontId="9" fillId="0" borderId="19" xfId="0" applyFont="1" applyBorder="1"/>
    <xf numFmtId="0" fontId="5" fillId="5" borderId="39" xfId="0" applyFont="1" applyFill="1" applyBorder="1" applyAlignment="1">
      <alignment horizontal="center" vertical="center" readingOrder="1"/>
    </xf>
    <xf numFmtId="0" fontId="5" fillId="7" borderId="39" xfId="0" applyFont="1" applyFill="1" applyBorder="1" applyAlignment="1">
      <alignment horizontal="center" vertical="center" readingOrder="1"/>
    </xf>
    <xf numFmtId="3" fontId="5" fillId="7" borderId="39" xfId="0" applyNumberFormat="1" applyFont="1" applyFill="1" applyBorder="1" applyAlignment="1">
      <alignment horizontal="center" vertical="center" readingOrder="1"/>
    </xf>
    <xf numFmtId="0" fontId="9" fillId="7" borderId="0" xfId="0" applyFont="1" applyFill="1"/>
    <xf numFmtId="0" fontId="19" fillId="0" borderId="0" xfId="0" applyFont="1" applyAlignment="1">
      <alignment vertical="center"/>
    </xf>
    <xf numFmtId="0" fontId="20" fillId="8" borderId="39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/>
    </xf>
    <xf numFmtId="0" fontId="21" fillId="8" borderId="48" xfId="0" applyFont="1" applyFill="1" applyBorder="1" applyAlignment="1">
      <alignment horizontal="center" vertical="center" wrapText="1" readingOrder="1"/>
    </xf>
    <xf numFmtId="0" fontId="21" fillId="8" borderId="15" xfId="0" applyFont="1" applyFill="1" applyBorder="1" applyAlignment="1">
      <alignment horizontal="center" vertical="center" readingOrder="1"/>
    </xf>
    <xf numFmtId="0" fontId="21" fillId="8" borderId="15" xfId="0" applyFont="1" applyFill="1" applyBorder="1" applyAlignment="1">
      <alignment horizontal="center" vertical="center" wrapText="1" readingOrder="1"/>
    </xf>
    <xf numFmtId="0" fontId="21" fillId="8" borderId="49" xfId="0" applyFont="1" applyFill="1" applyBorder="1" applyAlignment="1">
      <alignment horizontal="center" vertical="center" readingOrder="1"/>
    </xf>
    <xf numFmtId="0" fontId="9" fillId="8" borderId="16" xfId="0" applyFont="1" applyFill="1" applyBorder="1"/>
    <xf numFmtId="0" fontId="22" fillId="8" borderId="12" xfId="0" applyFont="1" applyFill="1" applyBorder="1"/>
    <xf numFmtId="0" fontId="22" fillId="8" borderId="19" xfId="0" applyFont="1" applyFill="1" applyBorder="1"/>
    <xf numFmtId="0" fontId="22" fillId="8" borderId="27" xfId="0" applyFont="1" applyFill="1" applyBorder="1"/>
    <xf numFmtId="3" fontId="21" fillId="8" borderId="15" xfId="0" applyNumberFormat="1" applyFont="1" applyFill="1" applyBorder="1" applyAlignment="1">
      <alignment horizontal="center" vertical="center" readingOrder="1"/>
    </xf>
    <xf numFmtId="0" fontId="22" fillId="8" borderId="28" xfId="0" applyFont="1" applyFill="1" applyBorder="1" applyAlignment="1">
      <alignment horizontal="center"/>
    </xf>
    <xf numFmtId="0" fontId="13" fillId="8" borderId="39" xfId="0" applyFont="1" applyFill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readingOrder="1"/>
    </xf>
    <xf numFmtId="0" fontId="23" fillId="0" borderId="39" xfId="0" applyFont="1" applyBorder="1" applyAlignment="1">
      <alignment horizontal="center" vertical="center" wrapText="1" readingOrder="1"/>
    </xf>
    <xf numFmtId="0" fontId="23" fillId="5" borderId="39" xfId="0" applyFont="1" applyFill="1" applyBorder="1" applyAlignment="1">
      <alignment horizontal="center" vertical="center" readingOrder="1"/>
    </xf>
    <xf numFmtId="0" fontId="23" fillId="5" borderId="39" xfId="0" applyFont="1" applyFill="1" applyBorder="1" applyAlignment="1">
      <alignment horizontal="center" vertical="center" wrapText="1" readingOrder="1"/>
    </xf>
    <xf numFmtId="3" fontId="23" fillId="5" borderId="39" xfId="0" applyNumberFormat="1" applyFont="1" applyFill="1" applyBorder="1" applyAlignment="1">
      <alignment horizontal="center" vertical="center" readingOrder="1"/>
    </xf>
    <xf numFmtId="0" fontId="23" fillId="12" borderId="39" xfId="0" applyFont="1" applyFill="1" applyBorder="1" applyAlignment="1">
      <alignment horizontal="center" vertical="center" readingOrder="1"/>
    </xf>
    <xf numFmtId="0" fontId="23" fillId="12" borderId="39" xfId="0" applyFont="1" applyFill="1" applyBorder="1" applyAlignment="1">
      <alignment horizontal="center" vertical="center" wrapText="1" readingOrder="1"/>
    </xf>
    <xf numFmtId="3" fontId="23" fillId="12" borderId="39" xfId="0" applyNumberFormat="1" applyFont="1" applyFill="1" applyBorder="1" applyAlignment="1">
      <alignment horizontal="center" vertical="center" readingOrder="1"/>
    </xf>
    <xf numFmtId="0" fontId="22" fillId="8" borderId="14" xfId="0" applyFont="1" applyFill="1" applyBorder="1"/>
    <xf numFmtId="0" fontId="24" fillId="8" borderId="15" xfId="0" applyFont="1" applyFill="1" applyBorder="1" applyAlignment="1">
      <alignment horizontal="center" vertical="center" readingOrder="1"/>
    </xf>
    <xf numFmtId="0" fontId="24" fillId="8" borderId="15" xfId="0" applyFont="1" applyFill="1" applyBorder="1" applyAlignment="1">
      <alignment horizontal="center" vertical="center" wrapText="1" readingOrder="1"/>
    </xf>
    <xf numFmtId="3" fontId="24" fillId="8" borderId="15" xfId="0" applyNumberFormat="1" applyFont="1" applyFill="1" applyBorder="1" applyAlignment="1">
      <alignment horizontal="center" vertical="center" readingOrder="1"/>
    </xf>
    <xf numFmtId="0" fontId="22" fillId="8" borderId="16" xfId="0" applyFont="1" applyFill="1" applyBorder="1"/>
    <xf numFmtId="0" fontId="9" fillId="12" borderId="0" xfId="0" applyFont="1" applyFill="1"/>
    <xf numFmtId="0" fontId="22" fillId="0" borderId="0" xfId="0" applyFont="1"/>
    <xf numFmtId="0" fontId="9" fillId="8" borderId="17" xfId="0" applyFont="1" applyFill="1" applyBorder="1"/>
    <xf numFmtId="0" fontId="20" fillId="8" borderId="13" xfId="0" applyFont="1" applyFill="1" applyBorder="1" applyAlignment="1">
      <alignment horizontal="center" vertical="center"/>
    </xf>
    <xf numFmtId="0" fontId="9" fillId="8" borderId="18" xfId="0" applyFont="1" applyFill="1" applyBorder="1"/>
    <xf numFmtId="0" fontId="9" fillId="0" borderId="17" xfId="0" applyFont="1" applyBorder="1"/>
    <xf numFmtId="0" fontId="5" fillId="3" borderId="13" xfId="0" applyFont="1" applyFill="1" applyBorder="1" applyAlignment="1">
      <alignment wrapText="1" readingOrder="1"/>
    </xf>
    <xf numFmtId="0" fontId="5" fillId="3" borderId="13" xfId="0" applyFont="1" applyFill="1" applyBorder="1" applyAlignment="1">
      <alignment readingOrder="1"/>
    </xf>
    <xf numFmtId="0" fontId="9" fillId="0" borderId="18" xfId="0" applyFont="1" applyBorder="1"/>
    <xf numFmtId="0" fontId="9" fillId="10" borderId="17" xfId="0" applyFont="1" applyFill="1" applyBorder="1"/>
    <xf numFmtId="0" fontId="5" fillId="5" borderId="13" xfId="0" applyFont="1" applyFill="1" applyBorder="1" applyAlignment="1">
      <alignment horizontal="center" vertical="center" wrapText="1" readingOrder="1"/>
    </xf>
    <xf numFmtId="0" fontId="5" fillId="5" borderId="13" xfId="0" applyFont="1" applyFill="1" applyBorder="1" applyAlignment="1">
      <alignment horizontal="center" vertical="center" readingOrder="1"/>
    </xf>
    <xf numFmtId="3" fontId="5" fillId="5" borderId="13" xfId="0" applyNumberFormat="1" applyFont="1" applyFill="1" applyBorder="1" applyAlignment="1">
      <alignment horizontal="center" vertical="center" wrapText="1" readingOrder="1"/>
    </xf>
    <xf numFmtId="3" fontId="21" fillId="8" borderId="15" xfId="0" applyNumberFormat="1" applyFont="1" applyFill="1" applyBorder="1" applyAlignment="1">
      <alignment horizontal="center" vertical="center" wrapText="1" readingOrder="1"/>
    </xf>
    <xf numFmtId="0" fontId="22" fillId="8" borderId="17" xfId="0" applyFont="1" applyFill="1" applyBorder="1"/>
    <xf numFmtId="0" fontId="13" fillId="8" borderId="13" xfId="0" applyFont="1" applyFill="1" applyBorder="1" applyAlignment="1">
      <alignment horizontal="center" vertical="center" readingOrder="1"/>
    </xf>
    <xf numFmtId="0" fontId="22" fillId="8" borderId="18" xfId="0" applyFont="1" applyFill="1" applyBorder="1"/>
    <xf numFmtId="3" fontId="5" fillId="5" borderId="13" xfId="0" applyNumberFormat="1" applyFont="1" applyFill="1" applyBorder="1" applyAlignment="1">
      <alignment horizontal="center" vertical="center" readingOrder="1"/>
    </xf>
    <xf numFmtId="0" fontId="5" fillId="7" borderId="13" xfId="0" applyFont="1" applyFill="1" applyBorder="1" applyAlignment="1">
      <alignment horizontal="center" vertical="center" readingOrder="1"/>
    </xf>
    <xf numFmtId="3" fontId="5" fillId="7" borderId="13" xfId="0" applyNumberFormat="1" applyFont="1" applyFill="1" applyBorder="1" applyAlignment="1">
      <alignment horizontal="center" vertical="center" readingOrder="1"/>
    </xf>
    <xf numFmtId="0" fontId="9" fillId="0" borderId="11" xfId="0" applyFont="1" applyBorder="1"/>
    <xf numFmtId="0" fontId="20" fillId="8" borderId="40" xfId="0" applyFont="1" applyFill="1" applyBorder="1" applyAlignment="1">
      <alignment horizontal="center" vertical="center"/>
    </xf>
    <xf numFmtId="0" fontId="20" fillId="8" borderId="41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2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/>
    </xf>
    <xf numFmtId="0" fontId="25" fillId="8" borderId="39" xfId="0" applyFont="1" applyFill="1" applyBorder="1" applyAlignment="1">
      <alignment horizontal="center" vertical="center" readingOrder="1"/>
    </xf>
    <xf numFmtId="0" fontId="5" fillId="6" borderId="39" xfId="0" applyFont="1" applyFill="1" applyBorder="1" applyAlignment="1">
      <alignment horizontal="center" vertical="center" readingOrder="1"/>
    </xf>
    <xf numFmtId="3" fontId="5" fillId="6" borderId="39" xfId="0" applyNumberFormat="1" applyFont="1" applyFill="1" applyBorder="1" applyAlignment="1">
      <alignment horizontal="center" vertical="center" readingOrder="1"/>
    </xf>
    <xf numFmtId="0" fontId="5" fillId="5" borderId="44" xfId="0" applyFont="1" applyFill="1" applyBorder="1" applyAlignment="1">
      <alignment horizontal="center" vertical="center" readingOrder="1"/>
    </xf>
    <xf numFmtId="0" fontId="5" fillId="7" borderId="44" xfId="0" applyFont="1" applyFill="1" applyBorder="1" applyAlignment="1">
      <alignment horizontal="center" vertical="center" readingOrder="1"/>
    </xf>
    <xf numFmtId="0" fontId="5" fillId="4" borderId="44" xfId="0" applyFont="1" applyFill="1" applyBorder="1" applyAlignment="1">
      <alignment horizontal="center" vertical="center" readingOrder="1"/>
    </xf>
    <xf numFmtId="0" fontId="17" fillId="5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readingOrder="1"/>
    </xf>
    <xf numFmtId="0" fontId="5" fillId="4" borderId="13" xfId="0" applyFont="1" applyFill="1" applyBorder="1" applyAlignment="1">
      <alignment horizontal="center" vertical="center" wrapText="1" readingOrder="1"/>
    </xf>
    <xf numFmtId="3" fontId="5" fillId="4" borderId="13" xfId="0" applyNumberFormat="1" applyFont="1" applyFill="1" applyBorder="1" applyAlignment="1">
      <alignment horizontal="center" vertical="center" readingOrder="1"/>
    </xf>
    <xf numFmtId="0" fontId="26" fillId="9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3" fillId="8" borderId="21" xfId="0" applyFont="1" applyFill="1" applyBorder="1" applyAlignment="1">
      <alignment horizontal="center" vertical="center" readingOrder="1"/>
    </xf>
    <xf numFmtId="0" fontId="13" fillId="8" borderId="6" xfId="0" applyFont="1" applyFill="1" applyBorder="1" applyAlignment="1">
      <alignment horizontal="center" vertical="center" readingOrder="1"/>
    </xf>
    <xf numFmtId="0" fontId="9" fillId="6" borderId="12" xfId="0" applyFont="1" applyFill="1" applyBorder="1"/>
    <xf numFmtId="0" fontId="9" fillId="6" borderId="19" xfId="0" applyFont="1" applyFill="1" applyBorder="1"/>
    <xf numFmtId="0" fontId="9" fillId="0" borderId="13" xfId="0" applyFont="1" applyBorder="1"/>
    <xf numFmtId="3" fontId="5" fillId="8" borderId="30" xfId="0" applyNumberFormat="1" applyFont="1" applyFill="1" applyBorder="1" applyAlignment="1">
      <alignment horizontal="center" vertical="center" readingOrder="1"/>
    </xf>
    <xf numFmtId="0" fontId="8" fillId="9" borderId="31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9" fillId="10" borderId="36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14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16" fillId="8" borderId="39" xfId="0" applyFont="1" applyFill="1" applyBorder="1" applyAlignment="1">
      <alignment horizontal="center" vertical="center" readingOrder="1"/>
    </xf>
    <xf numFmtId="0" fontId="16" fillId="8" borderId="46" xfId="0" applyFont="1" applyFill="1" applyBorder="1" applyAlignment="1">
      <alignment horizontal="center" vertical="center" readingOrder="1"/>
    </xf>
    <xf numFmtId="0" fontId="16" fillId="8" borderId="4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79"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/>
      <border diagonalUp="0" diagonalDown="0" outline="0">
        <left style="thin">
          <color rgb="FFFFFFFF"/>
        </left>
        <right/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>
        <top style="thin">
          <color rgb="FFFFFFFF"/>
        </top>
      </border>
    </dxf>
    <dxf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/>
    </dxf>
    <dxf>
      <border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outline="0">
        <top style="thin">
          <color theme="1" tint="0.499984740745262"/>
        </top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</dxf>
    <dxf>
      <border outline="0">
        <top style="thin">
          <color theme="1" tint="0.499984740745262"/>
        </top>
      </border>
    </dxf>
    <dxf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1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rgb="FFFFFFFF"/>
        </left>
        <right/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  <border diagonalUp="0" diagonalDown="0" outline="0">
        <left/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CCCCCC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center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rgb="FFD63031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FFFFFF"/>
        </left>
        <right/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border>
        <top style="thin">
          <color rgb="FFFFFFFF"/>
        </top>
      </border>
    </dxf>
    <dxf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fill>
        <patternFill>
          <fgColor indexed="64"/>
          <bgColor rgb="FFD63031"/>
        </patternFill>
      </fill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ill>
        <patternFill patternType="solid">
          <fgColor indexed="64"/>
          <bgColor theme="7" tint="0.39997558519241921"/>
        </patternFill>
      </fill>
      <alignment wrapText="1"/>
      <border diagonalUp="0" diagonalDown="0">
        <left style="thin">
          <color rgb="FFF7F7F7"/>
        </left>
        <right/>
        <top style="thin">
          <color rgb="FFF7F7F7"/>
        </top>
        <bottom style="thin">
          <color rgb="FFF7F7F7"/>
        </bottom>
        <vertical style="thin">
          <color rgb="FFF7F7F7"/>
        </vertical>
        <horizontal style="thin">
          <color rgb="FFF7F7F7"/>
        </horizontal>
      </border>
    </dxf>
    <dxf>
      <fill>
        <patternFill patternType="solid">
          <fgColor indexed="64"/>
          <bgColor theme="7" tint="0.39997558519241921"/>
        </patternFill>
      </fill>
      <alignment wrapText="1"/>
      <border diagonalUp="0" diagonalDown="0">
        <left style="thin">
          <color rgb="FFF7F7F7"/>
        </left>
        <right style="thin">
          <color rgb="FFF7F7F7"/>
        </right>
        <top style="thin">
          <color rgb="FFF7F7F7"/>
        </top>
        <bottom style="thin">
          <color rgb="FFF7F7F7"/>
        </bottom>
        <vertical style="thin">
          <color rgb="FFF7F7F7"/>
        </vertical>
        <horizontal style="thin">
          <color rgb="FFF7F7F7"/>
        </horizontal>
      </border>
    </dxf>
    <dxf>
      <fill>
        <patternFill patternType="solid">
          <fgColor indexed="64"/>
          <bgColor theme="7" tint="0.39997558519241921"/>
        </patternFill>
      </fill>
      <alignment wrapText="1"/>
      <border diagonalUp="0" diagonalDown="0">
        <left style="thin">
          <color rgb="FFF7F7F7"/>
        </left>
        <right style="thin">
          <color rgb="FFF7F7F7"/>
        </right>
        <top style="thin">
          <color rgb="FFF7F7F7"/>
        </top>
        <bottom style="thin">
          <color rgb="FFF7F7F7"/>
        </bottom>
        <vertical style="thin">
          <color rgb="FFF7F7F7"/>
        </vertical>
        <horizontal style="thin">
          <color rgb="FFF7F7F7"/>
        </horizontal>
      </border>
    </dxf>
    <dxf>
      <fill>
        <patternFill patternType="solid">
          <fgColor indexed="64"/>
          <bgColor theme="7" tint="0.39997558519241921"/>
        </patternFill>
      </fill>
      <border diagonalUp="0" diagonalDown="0">
        <left/>
        <right style="thin">
          <color rgb="FFF7F7F7"/>
        </right>
        <top style="thin">
          <color rgb="FFF7F7F7"/>
        </top>
        <bottom style="thin">
          <color rgb="FFF7F7F7"/>
        </bottom>
        <vertical style="thin">
          <color rgb="FFF7F7F7"/>
        </vertical>
        <horizontal style="thin">
          <color rgb="FFF7F7F7"/>
        </horizontal>
      </border>
    </dxf>
    <dxf>
      <border>
        <top style="thin">
          <color rgb="FFF7F7F7"/>
        </top>
      </border>
    </dxf>
    <dxf>
      <border diagonalUp="0" diagonalDown="0">
        <left style="thin">
          <color rgb="FF192A56"/>
        </left>
        <right style="thin">
          <color rgb="FF192A56"/>
        </right>
        <top style="thin">
          <color rgb="FF192A56"/>
        </top>
        <bottom style="thin">
          <color rgb="FF192A56"/>
        </bottom>
      </border>
    </dxf>
    <dxf>
      <fill>
        <patternFill patternType="solid">
          <fgColor indexed="64"/>
          <bgColor theme="7" tint="0.39997558519241921"/>
        </patternFill>
      </fill>
    </dxf>
    <dxf>
      <border>
        <bottom style="thin">
          <color rgb="FFF7F7F7"/>
        </bottom>
      </border>
    </dxf>
    <dxf>
      <font>
        <color theme="0"/>
      </font>
      <fill>
        <patternFill patternType="solid">
          <fgColor indexed="64"/>
          <bgColor rgb="FFD63031"/>
        </patternFill>
      </fill>
      <border diagonalUp="0" diagonalDown="0">
        <left style="thin">
          <color rgb="FFF7F7F7"/>
        </left>
        <right style="thin">
          <color rgb="FFF7F7F7"/>
        </right>
        <top/>
        <bottom/>
        <vertical style="thin">
          <color rgb="FFF7F7F7"/>
        </vertical>
        <horizontal style="thin">
          <color rgb="FFF7F7F7"/>
        </horizontal>
      </border>
    </dxf>
  </dxfs>
  <tableStyles count="1" defaultTableStyle="TableStyleMedium2" defaultPivotStyle="PivotStyleMedium9">
    <tableStyle name="Table Style 1" pivot="0" count="0" xr9:uid="{B8EC0CF1-1294-4D9E-89C4-A67092AF5446}"/>
  </tableStyles>
  <colors>
    <mruColors>
      <color rgb="FFD63031"/>
      <color rgb="FFF7F7F7"/>
      <color rgb="FF192A56"/>
      <color rgb="FFFFFFFF"/>
      <color rgb="FFF0CF3E"/>
      <color rgb="FFEDC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Pizza!$F$4:$F$5</c:f>
              <c:strCache>
                <c:ptCount val="2"/>
                <c:pt idx="0">
                  <c:v>Total quantity</c:v>
                </c:pt>
                <c:pt idx="1">
                  <c:v>Total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02-408A-9438-06151D01B7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02-408A-9438-06151D01B7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02-408A-9438-06151D01B7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802-408A-9438-06151D01B7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802-408A-9438-06151D01B7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802-408A-9438-06151D01B7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Pizza!$E$6:$E$11</c:f>
              <c:strCache>
                <c:ptCount val="6"/>
                <c:pt idx="0">
                  <c:v>Malai Boti (L)</c:v>
                </c:pt>
                <c:pt idx="1">
                  <c:v>Malai Boti (S)</c:v>
                </c:pt>
                <c:pt idx="2">
                  <c:v>Chicken Tikka (S)</c:v>
                </c:pt>
                <c:pt idx="3">
                  <c:v>Chicken Fajita (M)</c:v>
                </c:pt>
                <c:pt idx="4">
                  <c:v>Chicken Teriyaki (M)</c:v>
                </c:pt>
                <c:pt idx="5">
                  <c:v>Chicken Fajita (L)</c:v>
                </c:pt>
              </c:strCache>
            </c:strRef>
          </c:cat>
          <c:val>
            <c:numRef>
              <c:f>Pizza!$F$6:$F$11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7-4424-AF0C-C2177C0F8B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7F7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'Rolls and Warps'!$C$5</c:f>
              <c:strCache>
                <c:ptCount val="1"/>
                <c:pt idx="0">
                  <c:v>Chicken Mayo Roll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'Rolls and Warps'!$D$3:$D$4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'Rolls and Warps'!$D$5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E-4F22-A1BB-F404B4E72212}"/>
            </c:ext>
          </c:extLst>
        </c:ser>
        <c:ser>
          <c:idx val="1"/>
          <c:order val="1"/>
          <c:tx>
            <c:strRef>
              <c:f>'Rolls and Warps'!$C$6</c:f>
              <c:strCache>
                <c:ptCount val="1"/>
                <c:pt idx="0">
                  <c:v>Twister Roll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'Rolls and Warps'!$D$3:$D$4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'Rolls and Warps'!$D$6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0E-4F22-A1BB-F404B4E72212}"/>
            </c:ext>
          </c:extLst>
        </c:ser>
        <c:ser>
          <c:idx val="2"/>
          <c:order val="2"/>
          <c:tx>
            <c:strRef>
              <c:f>'Rolls and Warps'!$C$7</c:f>
              <c:strCache>
                <c:ptCount val="1"/>
                <c:pt idx="0">
                  <c:v>Beef Kabab Roll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'Rolls and Warps'!$D$3:$D$4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'Rolls and Warps'!$D$7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E-4F22-A1BB-F404B4E72212}"/>
            </c:ext>
          </c:extLst>
        </c:ser>
        <c:ser>
          <c:idx val="3"/>
          <c:order val="3"/>
          <c:tx>
            <c:strRef>
              <c:f>'Rolls and Warps'!$C$8</c:f>
              <c:strCache>
                <c:ptCount val="1"/>
                <c:pt idx="0">
                  <c:v>Grilled Wrap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'Rolls and Warps'!$D$3:$D$4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'Rolls and Warps'!$D$8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0E-4F22-A1BB-F404B4E72212}"/>
            </c:ext>
          </c:extLst>
        </c:ser>
        <c:ser>
          <c:idx val="4"/>
          <c:order val="4"/>
          <c:tx>
            <c:strRef>
              <c:f>'Rolls and Warps'!$C$9</c:f>
              <c:strCache>
                <c:ptCount val="1"/>
                <c:pt idx="0">
                  <c:v>Tortilla Wrap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'Rolls and Warps'!$D$3:$D$4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'Rolls and Warps'!$D$9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0E-4F22-A1BB-F404B4E72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975823"/>
        <c:axId val="2083978223"/>
      </c:barChart>
      <c:catAx>
        <c:axId val="20839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78223"/>
        <c:crosses val="autoZero"/>
        <c:auto val="1"/>
        <c:lblAlgn val="ctr"/>
        <c:lblOffset val="100"/>
        <c:noMultiLvlLbl val="0"/>
      </c:catAx>
      <c:valAx>
        <c:axId val="20839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7F7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Burgers!$D$4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Burgers!$C$5:$C$12</c:f>
              <c:strCache>
                <c:ptCount val="8"/>
                <c:pt idx="0">
                  <c:v>Classic Beef</c:v>
                </c:pt>
                <c:pt idx="1">
                  <c:v>Mighty Burger</c:v>
                </c:pt>
                <c:pt idx="2">
                  <c:v>Zinger Burger</c:v>
                </c:pt>
                <c:pt idx="3">
                  <c:v>Juicy Burger</c:v>
                </c:pt>
                <c:pt idx="4">
                  <c:v>Food Junction Special</c:v>
                </c:pt>
                <c:pt idx="5">
                  <c:v>Melt Master Burger</c:v>
                </c:pt>
                <c:pt idx="6">
                  <c:v>Spice Blast Burger</c:v>
                </c:pt>
                <c:pt idx="7">
                  <c:v>Paneer Tikka Burger</c:v>
                </c:pt>
              </c:strCache>
            </c:strRef>
          </c:cat>
          <c:val>
            <c:numRef>
              <c:f>Burgers!$D$5:$D$12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0-44A0-86C5-BCB05B21B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45103"/>
        <c:axId val="2083929263"/>
      </c:barChart>
      <c:catAx>
        <c:axId val="208394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29263"/>
        <c:crosses val="autoZero"/>
        <c:auto val="1"/>
        <c:lblAlgn val="ctr"/>
        <c:lblOffset val="100"/>
        <c:noMultiLvlLbl val="0"/>
      </c:catAx>
      <c:valAx>
        <c:axId val="2083929263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5103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7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Starters!$D$4:$D$5</c:f>
              <c:strCache>
                <c:ptCount val="2"/>
                <c:pt idx="0">
                  <c:v>Total quantity</c:v>
                </c:pt>
                <c:pt idx="1">
                  <c:v>Total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87E-472A-995E-5D94AF32AA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87E-472A-995E-5D94AF32AA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87E-472A-995E-5D94AF32AA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587E-472A-995E-5D94AF32AA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87E-472A-995E-5D94AF32AA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587E-472A-995E-5D94AF32AAFB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7E-472A-995E-5D94AF32AAF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87E-472A-995E-5D94AF32AAFB}"/>
                </c:ext>
              </c:extLst>
            </c:dLbl>
            <c:dLbl>
              <c:idx val="2"/>
              <c:layout>
                <c:manualLayout>
                  <c:x val="0.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7E-472A-995E-5D94AF32AAF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87E-472A-995E-5D94AF32AAF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87E-472A-995E-5D94AF32AAF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87E-472A-995E-5D94AF32AAF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Starters!$C$6:$C$11</c:f>
              <c:strCache>
                <c:ptCount val="6"/>
                <c:pt idx="0">
                  <c:v>Nuggets (10 pcs)</c:v>
                </c:pt>
                <c:pt idx="1">
                  <c:v>Hot Wings (10 pcs)</c:v>
                </c:pt>
                <c:pt idx="2">
                  <c:v>Honey Wings (10 pcs)</c:v>
                </c:pt>
                <c:pt idx="3">
                  <c:v>Tuna Pasta</c:v>
                </c:pt>
                <c:pt idx="4">
                  <c:v>Cheese Pasta</c:v>
                </c:pt>
                <c:pt idx="5">
                  <c:v>Russian Salad</c:v>
                </c:pt>
              </c:strCache>
            </c:strRef>
          </c:cat>
          <c:val>
            <c:numRef>
              <c:f>Starters!$D$6:$D$11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E-472A-995E-5D94AF32AAF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7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'Light Veg'!$D$4</c:f>
              <c:strCache>
                <c:ptCount val="1"/>
                <c:pt idx="0">
                  <c:v>Fresh Garden Salad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'Light Veg'!$E$3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'Light Veg'!$E$4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E-4282-A13B-EC32F8C42EEE}"/>
            </c:ext>
          </c:extLst>
        </c:ser>
        <c:ser>
          <c:idx val="1"/>
          <c:order val="1"/>
          <c:tx>
            <c:strRef>
              <c:f>'Light Veg'!$D$5</c:f>
              <c:strCache>
                <c:ptCount val="1"/>
                <c:pt idx="0">
                  <c:v>Anday Wala 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'Light Veg'!$E$3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'Light Veg'!$E$5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E-4282-A13B-EC32F8C42EEE}"/>
            </c:ext>
          </c:extLst>
        </c:ser>
        <c:ser>
          <c:idx val="2"/>
          <c:order val="2"/>
          <c:tx>
            <c:strRef>
              <c:f>'Light Veg'!$D$6</c:f>
              <c:strCache>
                <c:ptCount val="1"/>
                <c:pt idx="0">
                  <c:v>Samosa Chaat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'Light Veg'!$E$3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'Light Veg'!$E$6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E-4282-A13B-EC32F8C42EEE}"/>
            </c:ext>
          </c:extLst>
        </c:ser>
        <c:ser>
          <c:idx val="3"/>
          <c:order val="3"/>
          <c:tx>
            <c:strRef>
              <c:f>'Light Veg'!$D$7</c:f>
              <c:strCache>
                <c:ptCount val="1"/>
                <c:pt idx="0">
                  <c:v>Fruit Chaat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'Light Veg'!$E$3</c:f>
              <c:strCache>
                <c:ptCount val="1"/>
                <c:pt idx="0">
                  <c:v>Total Quantity</c:v>
                </c:pt>
              </c:strCache>
            </c:strRef>
          </c:cat>
          <c:val>
            <c:numRef>
              <c:f>'Light Veg'!$E$7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FE-4282-A13B-EC32F8C42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16847"/>
        <c:axId val="299300527"/>
      </c:barChart>
      <c:catAx>
        <c:axId val="29931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00527"/>
        <c:crosses val="autoZero"/>
        <c:auto val="1"/>
        <c:lblAlgn val="ctr"/>
        <c:lblOffset val="100"/>
        <c:noMultiLvlLbl val="0"/>
      </c:catAx>
      <c:valAx>
        <c:axId val="2993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1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7F7F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Fries!$D$4</c:f>
              <c:strCache>
                <c:ptCount val="1"/>
                <c:pt idx="0">
                  <c:v>Total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41-4FEB-B8EF-203252FF7C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41-4FEB-B8EF-203252FF7C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41-4FEB-B8EF-203252FF7C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Fries!$C$5:$C$7</c:f>
              <c:strCache>
                <c:ptCount val="3"/>
                <c:pt idx="0">
                  <c:v>Regular Fries</c:v>
                </c:pt>
                <c:pt idx="1">
                  <c:v>Loaded Fries</c:v>
                </c:pt>
                <c:pt idx="2">
                  <c:v>Pizza Fries</c:v>
                </c:pt>
              </c:strCache>
            </c:strRef>
          </c:cat>
          <c:val>
            <c:numRef>
              <c:f>Fries!$D$5:$D$7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B-4F5C-BEE8-028BB5786F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7F7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'Combo Deals'!$F$3</c:f>
              <c:strCache>
                <c:ptCount val="1"/>
                <c:pt idx="0">
                  <c:v>Total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8D-4D6A-ADCB-F2C27E36E1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8D-4D6A-ADCB-F2C27E36E1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8D-4D6A-ADCB-F2C27E36E1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8D-4D6A-ADCB-F2C27E36E1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8D-4D6A-ADCB-F2C27E36E1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8D-4D6A-ADCB-F2C27E36E1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D8D-4D6A-ADCB-F2C27E36E1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D8D-4D6A-ADCB-F2C27E36E1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'Combo Deals'!$E$4:$E$11</c:f>
              <c:strCache>
                <c:ptCount val="8"/>
                <c:pt idx="0">
                  <c:v>The Burger Feast</c:v>
                </c:pt>
                <c:pt idx="1">
                  <c:v>Urban Feast Deal</c:v>
                </c:pt>
                <c:pt idx="2">
                  <c:v>Roll &amp; Wrap Special</c:v>
                </c:pt>
                <c:pt idx="3">
                  <c:v>Starter Explosion</c:v>
                </c:pt>
                <c:pt idx="4">
                  <c:v>Chicken Crunch Deal</c:v>
                </c:pt>
                <c:pt idx="5">
                  <c:v>Family Pizza Pack</c:v>
                </c:pt>
                <c:pt idx="6">
                  <c:v>Pizza Lover's Delight</c:v>
                </c:pt>
                <c:pt idx="7">
                  <c:v>Veggie Feast Deal</c:v>
                </c:pt>
              </c:strCache>
            </c:strRef>
          </c:cat>
          <c:val>
            <c:numRef>
              <c:f>'Combo Deals'!$F$4:$F$11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5-49A2-89D2-B111464019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F7F7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Share of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Business!$G$9</c:f>
              <c:strCache>
                <c:ptCount val="1"/>
                <c:pt idx="0">
                  <c:v>Total Revenue (Rs.)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Business!$E$10:$E$16</c:f>
              <c:strCache>
                <c:ptCount val="7"/>
                <c:pt idx="0">
                  <c:v>Combo Deals</c:v>
                </c:pt>
                <c:pt idx="1">
                  <c:v>Starters</c:v>
                </c:pt>
                <c:pt idx="2">
                  <c:v>Pizzas</c:v>
                </c:pt>
                <c:pt idx="3">
                  <c:v>Burgers</c:v>
                </c:pt>
                <c:pt idx="4">
                  <c:v>Rolls &amp; Wraps</c:v>
                </c:pt>
                <c:pt idx="5">
                  <c:v>Fries</c:v>
                </c:pt>
                <c:pt idx="6">
                  <c:v>Light Veg &amp; More</c:v>
                </c:pt>
              </c:strCache>
            </c:strRef>
          </c:cat>
          <c:val>
            <c:numRef>
              <c:f>Business!$G$10:$G$16</c:f>
              <c:numCache>
                <c:formatCode>#,##0</c:formatCode>
                <c:ptCount val="7"/>
                <c:pt idx="0">
                  <c:v>40100</c:v>
                </c:pt>
                <c:pt idx="1">
                  <c:v>11580</c:v>
                </c:pt>
                <c:pt idx="2">
                  <c:v>10750</c:v>
                </c:pt>
                <c:pt idx="3">
                  <c:v>8660</c:v>
                </c:pt>
                <c:pt idx="4">
                  <c:v>8350</c:v>
                </c:pt>
                <c:pt idx="5">
                  <c:v>5590</c:v>
                </c:pt>
                <c:pt idx="6">
                  <c:v>4520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D-4520-908C-D3414B483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051903"/>
        <c:axId val="920049983"/>
      </c:lineChart>
      <c:catAx>
        <c:axId val="9200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49983"/>
        <c:crosses val="autoZero"/>
        <c:auto val="1"/>
        <c:lblAlgn val="ctr"/>
        <c:lblOffset val="100"/>
        <c:noMultiLvlLbl val="0"/>
      </c:catAx>
      <c:valAx>
        <c:axId val="9200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Ordering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Business!$F$9</c:f>
              <c:strCache>
                <c:ptCount val="1"/>
                <c:pt idx="0">
                  <c:v>Total Items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Business!$E$10:$E$16</c:f>
              <c:strCache>
                <c:ptCount val="7"/>
                <c:pt idx="0">
                  <c:v>Combo Deals</c:v>
                </c:pt>
                <c:pt idx="1">
                  <c:v>Starters</c:v>
                </c:pt>
                <c:pt idx="2">
                  <c:v>Pizzas</c:v>
                </c:pt>
                <c:pt idx="3">
                  <c:v>Burgers</c:v>
                </c:pt>
                <c:pt idx="4">
                  <c:v>Rolls &amp; Wraps</c:v>
                </c:pt>
                <c:pt idx="5">
                  <c:v>Fries</c:v>
                </c:pt>
                <c:pt idx="6">
                  <c:v>Light Veg &amp; More</c:v>
                </c:pt>
              </c:strCache>
            </c:strRef>
          </c:cat>
          <c:val>
            <c:numRef>
              <c:f>Business!$F$10:$F$16</c:f>
              <c:numCache>
                <c:formatCode>General</c:formatCode>
                <c:ptCount val="7"/>
                <c:pt idx="0">
                  <c:v>19</c:v>
                </c:pt>
                <c:pt idx="1">
                  <c:v>22</c:v>
                </c:pt>
                <c:pt idx="2">
                  <c:v>10</c:v>
                </c:pt>
                <c:pt idx="3">
                  <c:v>19</c:v>
                </c:pt>
                <c:pt idx="4">
                  <c:v>23</c:v>
                </c:pt>
                <c:pt idx="5">
                  <c:v>19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3-47E6-9A2A-CE69BB84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347855"/>
        <c:axId val="477353135"/>
      </c:barChart>
      <c:catAx>
        <c:axId val="47734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353135"/>
        <c:crosses val="autoZero"/>
        <c:auto val="1"/>
        <c:lblAlgn val="ctr"/>
        <c:lblOffset val="100"/>
        <c:noMultiLvlLbl val="0"/>
      </c:catAx>
      <c:valAx>
        <c:axId val="4773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34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350520</xdr:colOff>
      <xdr:row>1</xdr:row>
      <xdr:rowOff>163830</xdr:rowOff>
    </xdr:from>
    <xdr:to>
      <xdr:col>17</xdr:col>
      <xdr:colOff>45720</xdr:colOff>
      <xdr:row>11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00FE01-B411-896A-2D6C-57FDCC87B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0</xdr:row>
      <xdr:rowOff>163830</xdr:rowOff>
    </xdr:from>
    <xdr:to>
      <xdr:col>14</xdr:col>
      <xdr:colOff>502920</xdr:colOff>
      <xdr:row>9</xdr:row>
      <xdr:rowOff>240030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11B6D8-7AC8-C89C-91D4-CA1E04433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168442</xdr:colOff>
      <xdr:row>2</xdr:row>
      <xdr:rowOff>0</xdr:rowOff>
    </xdr:from>
    <xdr:to>
      <xdr:col>13</xdr:col>
      <xdr:colOff>216568</xdr:colOff>
      <xdr:row>11</xdr:row>
      <xdr:rowOff>264695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23BC0-A342-CD0F-394B-BB53ED064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148590</xdr:rowOff>
    </xdr:from>
    <xdr:to>
      <xdr:col>14</xdr:col>
      <xdr:colOff>533400</xdr:colOff>
      <xdr:row>11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46C74-351C-0E28-D6A7-8F49B7E26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205740</xdr:colOff>
      <xdr:row>0</xdr:row>
      <xdr:rowOff>110490</xdr:rowOff>
    </xdr:from>
    <xdr:to>
      <xdr:col>15</xdr:col>
      <xdr:colOff>510540</xdr:colOff>
      <xdr:row>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26FB3-055C-ED85-16F0-F45014544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64770</xdr:rowOff>
    </xdr:from>
    <xdr:to>
      <xdr:col>15</xdr:col>
      <xdr:colOff>0</xdr:colOff>
      <xdr:row>9</xdr:row>
      <xdr:rowOff>194310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F7880-F994-2680-754E-9797B3125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160020</xdr:colOff>
      <xdr:row>1</xdr:row>
      <xdr:rowOff>320040</xdr:rowOff>
    </xdr:from>
    <xdr:to>
      <xdr:col>16</xdr:col>
      <xdr:colOff>464820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8678A-AD98-9877-AF92-8FE9BFE9A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1301667</xdr:colOff>
      <xdr:row>17</xdr:row>
      <xdr:rowOff>204683</xdr:rowOff>
    </xdr:from>
    <xdr:to>
      <xdr:col>5</xdr:col>
      <xdr:colOff>1484712</xdr:colOff>
      <xdr:row>33</xdr:row>
      <xdr:rowOff>138840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A87A9-3329-CB78-BE40-2064EB4F4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158750</xdr:colOff>
      <xdr:row>18</xdr:row>
      <xdr:rowOff>19050</xdr:rowOff>
    </xdr:from>
    <xdr:to>
      <xdr:col>9</xdr:col>
      <xdr:colOff>266700</xdr:colOff>
      <xdr:row>33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A72F7-008B-CC98-DDF0-85CDDF459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25662-C6C6-4D36-8FBC-467C83B06011}" name="Table2" displayName="Table2" ref="H3:K41" totalsRowShown="0" headerRowDxfId="78" dataDxfId="76" headerRowBorderDxfId="77" tableBorderDxfId="75" totalsRowBorderDxfId="74">
  <autoFilter ref="H3:K41" xr:uid="{8CA25662-C6C6-4D36-8FBC-467C83B06011}">
    <filterColumn colId="0" hiddenButton="1"/>
    <filterColumn colId="1" hiddenButton="1"/>
    <filterColumn colId="2" hiddenButton="1"/>
    <filterColumn colId="3" hiddenButton="1"/>
  </autoFilter>
  <tableColumns count="4">
    <tableColumn id="1" xr3:uid="{8AA73A17-3425-4CB3-B67A-9C8DE779E6EA}" name="Category" dataDxfId="73"/>
    <tableColumn id="2" xr3:uid="{45E70F27-1F79-4A44-91AB-CF996F587D72}" name="Item Name" dataDxfId="72"/>
    <tableColumn id="3" xr3:uid="{E9AAD005-CEAD-4B6B-B504-658CC917639E}" name="Price (Rs)" dataDxfId="71"/>
    <tableColumn id="4" xr3:uid="{0F68BBE4-E63C-4957-9C2C-B29D87BA5C6B}" name="Details" dataDxfId="7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EBECB3-77C7-4A86-B1EC-A4C62DC326EE}" name="Table7" displayName="Table7" ref="G5:J13" totalsRowShown="0" headerRowDxfId="69" dataDxfId="67" headerRowBorderDxfId="68" tableBorderDxfId="66" totalsRowBorderDxfId="65">
  <autoFilter ref="G5:J13" xr:uid="{E3EBECB3-77C7-4A86-B1EC-A4C62DC326EE}"/>
  <tableColumns count="4">
    <tableColumn id="1" xr3:uid="{E8EF6BBA-24F1-4776-9092-976659755B60}" name="Category" dataDxfId="64"/>
    <tableColumn id="2" xr3:uid="{6CC2B5A6-4F92-46FA-811C-FB3392C83197}" name="Item Name" dataDxfId="63"/>
    <tableColumn id="3" xr3:uid="{5B7BFA73-0929-4E97-A4B4-727050E333BD}" name="Price (Rs.)" dataDxfId="62"/>
    <tableColumn id="4" xr3:uid="{6865754C-9D38-4F6E-B474-9B2D974AD5D2}" name="Description / Includes" dataDxfId="6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F25D5-1006-4E20-8938-07B690B8EC01}" name="Table1" displayName="Table1" ref="H5:M35" totalsRowShown="0" headerRowDxfId="60" dataDxfId="58" headerRowBorderDxfId="59" tableBorderDxfId="57" totalsRowBorderDxfId="56">
  <autoFilter ref="H5:M35" xr:uid="{BFEF25D5-1006-4E20-8938-07B690B8EC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68BAD2-3173-4993-B105-B8D5D444BBC0}" name="Column1" dataDxfId="55"/>
    <tableColumn id="2" xr3:uid="{B03A9FFE-6407-45EE-8A65-84B619BA4BF5}" name="Column2" dataDxfId="54"/>
    <tableColumn id="3" xr3:uid="{1C7F27C8-4A92-49BE-899F-66757A80A679}" name="Column3" dataDxfId="53"/>
    <tableColumn id="4" xr3:uid="{9D6796AE-7BDD-4AD1-9B64-B31FFCB4FCE2}" name="Column4" dataDxfId="52"/>
    <tableColumn id="5" xr3:uid="{C8220ADF-0DCB-438C-A14A-370951929811}" name="Column5" dataDxfId="51"/>
    <tableColumn id="6" xr3:uid="{1606672D-ABAC-47FE-9DC2-BA81FD1530DB}" name="Column6" dataDxfId="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B62E20-75AC-4C4B-9F7E-519B2B35A550}" name="Table8" displayName="Table8" ref="G5:G36" totalsRowShown="0" headerRowDxfId="49" dataDxfId="47" headerRowBorderDxfId="48" tableBorderDxfId="46" totalsRowBorderDxfId="45">
  <autoFilter ref="G5:G36" xr:uid="{1BB62E20-75AC-4C4B-9F7E-519B2B35A550}"/>
  <tableColumns count="1">
    <tableColumn id="1" xr3:uid="{00576FFD-0578-4C46-86F0-15C87622F64A}" name="Column1" dataDxfId="44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48932-3881-4B4F-A3D8-7DC9860BE6E2}" name="Table3" displayName="Table3" ref="E4:H12" totalsRowShown="0" headerRowDxfId="34" dataDxfId="32" headerRowBorderDxfId="33" tableBorderDxfId="31">
  <autoFilter ref="E4:H12" xr:uid="{0AB48932-3881-4B4F-A3D8-7DC9860BE6E2}">
    <filterColumn colId="0" hiddenButton="1"/>
    <filterColumn colId="1" hiddenButton="1"/>
    <filterColumn colId="2" hiddenButton="1"/>
    <filterColumn colId="3" hiddenButton="1"/>
  </autoFilter>
  <tableColumns count="4">
    <tableColumn id="1" xr3:uid="{181FBB77-8A98-4E99-9CFD-856CFA4268C3}" name="Item name" dataDxfId="30"/>
    <tableColumn id="2" xr3:uid="{C06FE6A5-ED63-4D68-A9CF-93D0C88393AB}" name="Total quantity" dataDxfId="29"/>
    <tableColumn id="3" xr3:uid="{37BF06B8-8A36-4EBE-8041-99754A3AD46D}" name="Unit Price RS-/" dataDxfId="28"/>
    <tableColumn id="4" xr3:uid="{606BBFE1-3C0F-47D0-A7C4-E28C2B8C93B9}" name="Total Sum" dataDxfId="2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8EA49D-FF4E-4C06-9B9F-42A53BD59BF0}" name="Table9" displayName="Table9" ref="C4:F13" totalsRowShown="0" headerRowDxfId="43" dataDxfId="41" headerRowBorderDxfId="42" tableBorderDxfId="40" totalsRowBorderDxfId="39">
  <autoFilter ref="C4:F13" xr:uid="{FE8EA49D-FF4E-4C06-9B9F-42A53BD59BF0}"/>
  <tableColumns count="4">
    <tableColumn id="1" xr3:uid="{853A45DC-1B97-4F42-92A1-00915758A46A}" name="Item name" dataDxfId="38"/>
    <tableColumn id="2" xr3:uid="{D601AC7D-5FD5-4A88-8DB5-91209513DD69}" name="Total quantity" dataDxfId="37"/>
    <tableColumn id="3" xr3:uid="{9E51D601-6A72-47C6-B106-1945E49C5DD2}" name="Unit Price RS-/" dataDxfId="36"/>
    <tableColumn id="4" xr3:uid="{1CD37327-920A-497D-A9EA-88C5288BA3A3}" name="Total Sum" dataDxfId="35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FFB2A2-904E-442C-A2C5-157B04BA5F53}" name="Table5" displayName="Table5" ref="D3:G8" totalsRowShown="0" headerRowDxfId="26" dataDxfId="24" headerRowBorderDxfId="25" tableBorderDxfId="23" totalsRowBorderDxfId="22">
  <autoFilter ref="D3:G8" xr:uid="{ABFFB2A2-904E-442C-A2C5-157B04BA5F53}">
    <filterColumn colId="0" hiddenButton="1"/>
    <filterColumn colId="1" hiddenButton="1"/>
    <filterColumn colId="2" hiddenButton="1"/>
    <filterColumn colId="3" hiddenButton="1"/>
  </autoFilter>
  <tableColumns count="4">
    <tableColumn id="1" xr3:uid="{597087F6-1633-482F-AF1F-7570E026CFB6}" name="Item Name" dataDxfId="21"/>
    <tableColumn id="2" xr3:uid="{6FF73E7F-E5A7-487A-BEEB-C5664828E6C5}" name="Total Quantity" dataDxfId="20"/>
    <tableColumn id="3" xr3:uid="{48CD3FCF-2BBE-482B-9C75-DEEE154BDCB4}" name="Unit Price (Rs.)" dataDxfId="19"/>
    <tableColumn id="4" xr3:uid="{8018FEC1-B572-4D0A-A036-DBF91BE9B01B}" name="Total Sum (Rs.)" dataDxfId="1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D09D4D-2825-4CD8-8559-3084D5CCDE97}" name="Table4" displayName="Table4" ref="C4:F8" totalsRowShown="0" headerRowDxfId="17" dataDxfId="15" headerRowBorderDxfId="16" tableBorderDxfId="14" totalsRowBorderDxfId="13">
  <autoFilter ref="C4:F8" xr:uid="{D2D09D4D-2825-4CD8-8559-3084D5CCDE97}">
    <filterColumn colId="0" hiddenButton="1"/>
    <filterColumn colId="1" hiddenButton="1"/>
    <filterColumn colId="2" hiddenButton="1"/>
    <filterColumn colId="3" hiddenButton="1"/>
  </autoFilter>
  <tableColumns count="4">
    <tableColumn id="1" xr3:uid="{9F023E4D-EA68-4099-B498-4EC25FE69A44}" name="Item name" dataDxfId="12"/>
    <tableColumn id="2" xr3:uid="{5848BF4F-FB8D-4736-A48E-2FFABA24CBB0}" name="Total quantity" dataDxfId="11"/>
    <tableColumn id="3" xr3:uid="{5F249A5F-CE7A-41C0-A0D1-5BDB6CCC259D}" name="Unit Price RS-/" dataDxfId="10"/>
    <tableColumn id="4" xr3:uid="{DD7B7F85-DB84-479A-B3D0-87E94C4947E4}" name="Total Sum" dataDxfId="9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CA5343-FF37-4D36-8F45-C1A613001235}" name="Table6" displayName="Table6" ref="E9:H17" totalsRowShown="0" headerRowDxfId="8" dataDxfId="6" headerRowBorderDxfId="7" tableBorderDxfId="5" totalsRowBorderDxfId="4">
  <autoFilter ref="E9:H17" xr:uid="{48CA5343-FF37-4D36-8F45-C1A613001235}">
    <filterColumn colId="0" hiddenButton="1"/>
    <filterColumn colId="1" hiddenButton="1"/>
    <filterColumn colId="2" hiddenButton="1"/>
    <filterColumn colId="3" hiddenButton="1"/>
  </autoFilter>
  <tableColumns count="4">
    <tableColumn id="1" xr3:uid="{BF3C4C5D-BCBD-456A-AE37-F11F5D81A2B9}" name="Category" dataDxfId="3"/>
    <tableColumn id="2" xr3:uid="{C6C570BF-C783-4AFC-81F7-4B495A220E18}" name="Total Items Sold" dataDxfId="2"/>
    <tableColumn id="3" xr3:uid="{BB515903-F16F-4543-A566-0537C3785511}" name="Total Revenue (Rs.)" dataDxfId="1"/>
    <tableColumn id="5" xr3:uid="{DD367B7D-CD5A-40E7-BEDF-9E9917483DF8}" name="Most Sold Ite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D7132F-465A-4CC3-AF4A-605A6CC2B35D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9"/>
  <sheetViews>
    <sheetView tabSelected="1" zoomScale="54" zoomScaleNormal="41" workbookViewId="0">
      <selection activeCell="N17" sqref="N17"/>
    </sheetView>
  </sheetViews>
  <sheetFormatPr defaultRowHeight="14.4"/>
  <cols>
    <col min="1" max="1" width="15.44140625" customWidth="1"/>
    <col min="2" max="2" width="16" customWidth="1"/>
    <col min="3" max="6" width="15.44140625" customWidth="1"/>
    <col min="7" max="12" width="30.6640625" customWidth="1"/>
    <col min="13" max="14" width="15.44140625" customWidth="1"/>
  </cols>
  <sheetData>
    <row r="1" spans="1:12" ht="15" customHeight="1"/>
    <row r="2" spans="1:12" ht="47.25" customHeight="1">
      <c r="G2" s="151" t="s">
        <v>0</v>
      </c>
      <c r="H2" s="152"/>
      <c r="I2" s="152"/>
      <c r="J2" s="152"/>
      <c r="K2" s="152"/>
      <c r="L2" s="153"/>
    </row>
    <row r="3" spans="1:12" ht="42.75" customHeight="1">
      <c r="G3" s="8"/>
      <c r="H3" s="13" t="s">
        <v>1</v>
      </c>
      <c r="I3" s="14" t="s">
        <v>2</v>
      </c>
      <c r="J3" s="15" t="s">
        <v>3</v>
      </c>
      <c r="K3" s="16" t="s">
        <v>4</v>
      </c>
      <c r="L3" s="10"/>
    </row>
    <row r="4" spans="1:12" ht="30" hidden="1" customHeight="1">
      <c r="G4" s="9"/>
      <c r="H4" s="17"/>
      <c r="I4" s="18"/>
      <c r="J4" s="18"/>
      <c r="K4" s="19"/>
      <c r="L4" s="11"/>
    </row>
    <row r="5" spans="1:12" ht="30" customHeight="1">
      <c r="A5" s="6"/>
      <c r="G5" s="29"/>
      <c r="H5" s="20" t="s">
        <v>5</v>
      </c>
      <c r="I5" s="21" t="s">
        <v>6</v>
      </c>
      <c r="J5" s="21">
        <v>450</v>
      </c>
      <c r="K5" s="22" t="s">
        <v>7</v>
      </c>
      <c r="L5" s="154"/>
    </row>
    <row r="6" spans="1:12" ht="30" customHeight="1">
      <c r="A6" s="6"/>
      <c r="G6" s="30"/>
      <c r="H6" s="20" t="s">
        <v>5</v>
      </c>
      <c r="I6" s="21" t="s">
        <v>8</v>
      </c>
      <c r="J6" s="21">
        <v>460</v>
      </c>
      <c r="K6" s="22" t="s">
        <v>9</v>
      </c>
      <c r="L6" s="155"/>
    </row>
    <row r="7" spans="1:12" ht="30" customHeight="1">
      <c r="A7" s="6"/>
      <c r="G7" s="30"/>
      <c r="H7" s="20" t="s">
        <v>5</v>
      </c>
      <c r="I7" s="21" t="s">
        <v>10</v>
      </c>
      <c r="J7" s="21">
        <v>340</v>
      </c>
      <c r="K7" s="22" t="s">
        <v>11</v>
      </c>
      <c r="L7" s="155"/>
    </row>
    <row r="8" spans="1:12" ht="30" customHeight="1">
      <c r="A8" s="6"/>
      <c r="G8" s="30"/>
      <c r="H8" s="20" t="s">
        <v>5</v>
      </c>
      <c r="I8" s="21" t="s">
        <v>12</v>
      </c>
      <c r="J8" s="21">
        <v>500</v>
      </c>
      <c r="K8" s="22" t="s">
        <v>13</v>
      </c>
      <c r="L8" s="155"/>
    </row>
    <row r="9" spans="1:12" ht="30" customHeight="1">
      <c r="A9" s="6"/>
      <c r="G9" s="30"/>
      <c r="H9" s="20" t="s">
        <v>5</v>
      </c>
      <c r="I9" s="21" t="s">
        <v>14</v>
      </c>
      <c r="J9" s="21">
        <v>450</v>
      </c>
      <c r="K9" s="22" t="s">
        <v>15</v>
      </c>
      <c r="L9" s="155"/>
    </row>
    <row r="10" spans="1:12" ht="30" customHeight="1">
      <c r="A10" s="6"/>
      <c r="G10" s="30"/>
      <c r="H10" s="20" t="s">
        <v>5</v>
      </c>
      <c r="I10" s="21" t="s">
        <v>16</v>
      </c>
      <c r="J10" s="21">
        <v>550</v>
      </c>
      <c r="K10" s="22" t="s">
        <v>17</v>
      </c>
      <c r="L10" s="155"/>
    </row>
    <row r="11" spans="1:12" ht="30" customHeight="1">
      <c r="A11" s="7"/>
      <c r="G11" s="30"/>
      <c r="H11" s="20" t="s">
        <v>5</v>
      </c>
      <c r="I11" s="21" t="s">
        <v>18</v>
      </c>
      <c r="J11" s="21">
        <v>420</v>
      </c>
      <c r="K11" s="22" t="s">
        <v>19</v>
      </c>
      <c r="L11" s="155"/>
    </row>
    <row r="12" spans="1:12" ht="30" customHeight="1">
      <c r="G12" s="30"/>
      <c r="H12" s="20" t="s">
        <v>5</v>
      </c>
      <c r="I12" s="21" t="s">
        <v>20</v>
      </c>
      <c r="J12" s="21">
        <v>500</v>
      </c>
      <c r="K12" s="22" t="s">
        <v>21</v>
      </c>
      <c r="L12" s="155"/>
    </row>
    <row r="13" spans="1:12" ht="30" customHeight="1">
      <c r="G13" s="30"/>
      <c r="H13" s="20" t="s">
        <v>5</v>
      </c>
      <c r="I13" s="21" t="s">
        <v>22</v>
      </c>
      <c r="J13" s="21">
        <v>550</v>
      </c>
      <c r="K13" s="22" t="s">
        <v>23</v>
      </c>
      <c r="L13" s="155"/>
    </row>
    <row r="14" spans="1:12" ht="30" customHeight="1">
      <c r="G14" s="30"/>
      <c r="H14" s="20" t="s">
        <v>5</v>
      </c>
      <c r="I14" s="21" t="s">
        <v>24</v>
      </c>
      <c r="J14" s="21">
        <v>450</v>
      </c>
      <c r="K14" s="22" t="s">
        <v>25</v>
      </c>
      <c r="L14" s="155"/>
    </row>
    <row r="15" spans="1:12" ht="30" customHeight="1">
      <c r="G15" s="30"/>
      <c r="H15" s="20" t="s">
        <v>26</v>
      </c>
      <c r="I15" s="21" t="s">
        <v>27</v>
      </c>
      <c r="J15" s="21" t="s">
        <v>28</v>
      </c>
      <c r="K15" s="22" t="s">
        <v>29</v>
      </c>
      <c r="L15" s="155"/>
    </row>
    <row r="16" spans="1:12" ht="30" customHeight="1">
      <c r="G16" s="30"/>
      <c r="H16" s="20" t="s">
        <v>26</v>
      </c>
      <c r="I16" s="21" t="s">
        <v>30</v>
      </c>
      <c r="J16" s="21" t="s">
        <v>28</v>
      </c>
      <c r="K16" s="22" t="s">
        <v>31</v>
      </c>
      <c r="L16" s="155"/>
    </row>
    <row r="17" spans="7:12" ht="30" customHeight="1">
      <c r="G17" s="30"/>
      <c r="H17" s="20" t="s">
        <v>26</v>
      </c>
      <c r="I17" s="21" t="s">
        <v>32</v>
      </c>
      <c r="J17" s="21" t="s">
        <v>33</v>
      </c>
      <c r="K17" s="22" t="s">
        <v>34</v>
      </c>
      <c r="L17" s="155"/>
    </row>
    <row r="18" spans="7:12" ht="30" customHeight="1">
      <c r="G18" s="30"/>
      <c r="H18" s="20" t="s">
        <v>26</v>
      </c>
      <c r="I18" s="21" t="s">
        <v>35</v>
      </c>
      <c r="J18" s="21" t="s">
        <v>33</v>
      </c>
      <c r="K18" s="22" t="s">
        <v>36</v>
      </c>
      <c r="L18" s="155"/>
    </row>
    <row r="19" spans="7:12" ht="30" customHeight="1">
      <c r="G19" s="30"/>
      <c r="H19" s="20" t="s">
        <v>26</v>
      </c>
      <c r="I19" s="21" t="s">
        <v>37</v>
      </c>
      <c r="J19" s="21" t="s">
        <v>38</v>
      </c>
      <c r="K19" s="22" t="s">
        <v>39</v>
      </c>
      <c r="L19" s="155"/>
    </row>
    <row r="20" spans="7:12" ht="30" customHeight="1">
      <c r="G20" s="30"/>
      <c r="H20" s="20" t="s">
        <v>40</v>
      </c>
      <c r="I20" s="21" t="s">
        <v>41</v>
      </c>
      <c r="J20" s="21">
        <v>300</v>
      </c>
      <c r="K20" s="22" t="s">
        <v>42</v>
      </c>
      <c r="L20" s="155"/>
    </row>
    <row r="21" spans="7:12" ht="30" customHeight="1">
      <c r="G21" s="30"/>
      <c r="H21" s="20" t="s">
        <v>40</v>
      </c>
      <c r="I21" s="21" t="s">
        <v>43</v>
      </c>
      <c r="J21" s="21">
        <v>300</v>
      </c>
      <c r="K21" s="22" t="s">
        <v>44</v>
      </c>
      <c r="L21" s="155"/>
    </row>
    <row r="22" spans="7:12" ht="30" customHeight="1">
      <c r="G22" s="30"/>
      <c r="H22" s="20" t="s">
        <v>40</v>
      </c>
      <c r="I22" s="21" t="s">
        <v>45</v>
      </c>
      <c r="J22" s="21">
        <v>400</v>
      </c>
      <c r="K22" s="22" t="s">
        <v>46</v>
      </c>
      <c r="L22" s="155"/>
    </row>
    <row r="23" spans="7:12" ht="30" customHeight="1">
      <c r="G23" s="30"/>
      <c r="H23" s="20" t="s">
        <v>40</v>
      </c>
      <c r="I23" s="21" t="s">
        <v>47</v>
      </c>
      <c r="J23" s="21">
        <v>400</v>
      </c>
      <c r="K23" s="22" t="s">
        <v>48</v>
      </c>
      <c r="L23" s="155"/>
    </row>
    <row r="24" spans="7:12" ht="30" customHeight="1">
      <c r="G24" s="30"/>
      <c r="H24" s="20" t="s">
        <v>40</v>
      </c>
      <c r="I24" s="21" t="s">
        <v>49</v>
      </c>
      <c r="J24" s="21">
        <v>450</v>
      </c>
      <c r="K24" s="22" t="s">
        <v>50</v>
      </c>
      <c r="L24" s="155"/>
    </row>
    <row r="25" spans="7:12" ht="30" customHeight="1">
      <c r="G25" s="30"/>
      <c r="H25" s="20" t="s">
        <v>40</v>
      </c>
      <c r="I25" s="21" t="s">
        <v>51</v>
      </c>
      <c r="J25" s="21">
        <v>280</v>
      </c>
      <c r="K25" s="22" t="s">
        <v>52</v>
      </c>
      <c r="L25" s="155"/>
    </row>
    <row r="26" spans="7:12" ht="30" customHeight="1">
      <c r="G26" s="30"/>
      <c r="H26" s="20" t="s">
        <v>40</v>
      </c>
      <c r="I26" s="21" t="s">
        <v>53</v>
      </c>
      <c r="J26" s="21">
        <v>300</v>
      </c>
      <c r="K26" s="22" t="s">
        <v>54</v>
      </c>
      <c r="L26" s="155"/>
    </row>
    <row r="27" spans="7:12" ht="30" customHeight="1">
      <c r="G27" s="30"/>
      <c r="H27" s="20" t="s">
        <v>55</v>
      </c>
      <c r="I27" s="21" t="s">
        <v>56</v>
      </c>
      <c r="J27" s="21">
        <v>500</v>
      </c>
      <c r="K27" s="22" t="s">
        <v>57</v>
      </c>
      <c r="L27" s="155"/>
    </row>
    <row r="28" spans="7:12" ht="30" customHeight="1">
      <c r="G28" s="30"/>
      <c r="H28" s="20" t="s">
        <v>55</v>
      </c>
      <c r="I28" s="21" t="s">
        <v>58</v>
      </c>
      <c r="J28" s="21">
        <v>580</v>
      </c>
      <c r="K28" s="22" t="s">
        <v>59</v>
      </c>
      <c r="L28" s="155"/>
    </row>
    <row r="29" spans="7:12" ht="30" customHeight="1">
      <c r="G29" s="30"/>
      <c r="H29" s="20" t="s">
        <v>55</v>
      </c>
      <c r="I29" s="21" t="s">
        <v>60</v>
      </c>
      <c r="J29" s="21">
        <v>550</v>
      </c>
      <c r="K29" s="22" t="s">
        <v>61</v>
      </c>
      <c r="L29" s="155"/>
    </row>
    <row r="30" spans="7:12" ht="30" customHeight="1">
      <c r="G30" s="30"/>
      <c r="H30" s="20" t="s">
        <v>55</v>
      </c>
      <c r="I30" s="21" t="s">
        <v>62</v>
      </c>
      <c r="J30" s="21">
        <v>600</v>
      </c>
      <c r="K30" s="22" t="s">
        <v>63</v>
      </c>
      <c r="L30" s="155"/>
    </row>
    <row r="31" spans="7:12" ht="30" customHeight="1">
      <c r="G31" s="30"/>
      <c r="H31" s="20" t="s">
        <v>55</v>
      </c>
      <c r="I31" s="21" t="s">
        <v>64</v>
      </c>
      <c r="J31" s="21">
        <v>600</v>
      </c>
      <c r="K31" s="22" t="s">
        <v>65</v>
      </c>
      <c r="L31" s="155"/>
    </row>
    <row r="32" spans="7:12" ht="30" customHeight="1">
      <c r="G32" s="30"/>
      <c r="H32" s="20" t="s">
        <v>55</v>
      </c>
      <c r="I32" s="21" t="s">
        <v>66</v>
      </c>
      <c r="J32" s="21">
        <v>400</v>
      </c>
      <c r="K32" s="22" t="s">
        <v>67</v>
      </c>
      <c r="L32" s="155"/>
    </row>
    <row r="33" spans="7:12" ht="30" customHeight="1">
      <c r="G33" s="30"/>
      <c r="H33" s="20" t="s">
        <v>55</v>
      </c>
      <c r="I33" s="21" t="s">
        <v>68</v>
      </c>
      <c r="J33" s="21">
        <v>600</v>
      </c>
      <c r="K33" s="22" t="s">
        <v>69</v>
      </c>
      <c r="L33" s="155"/>
    </row>
    <row r="34" spans="7:12" ht="30" customHeight="1">
      <c r="G34" s="30"/>
      <c r="H34" s="20" t="s">
        <v>55</v>
      </c>
      <c r="I34" s="21" t="s">
        <v>70</v>
      </c>
      <c r="J34" s="21">
        <v>300</v>
      </c>
      <c r="K34" s="22" t="s">
        <v>71</v>
      </c>
      <c r="L34" s="155"/>
    </row>
    <row r="35" spans="7:12" ht="30" customHeight="1">
      <c r="G35" s="30"/>
      <c r="H35" s="20" t="s">
        <v>72</v>
      </c>
      <c r="I35" s="21" t="s">
        <v>73</v>
      </c>
      <c r="J35" s="21">
        <v>290</v>
      </c>
      <c r="K35" s="22" t="s">
        <v>74</v>
      </c>
      <c r="L35" s="155"/>
    </row>
    <row r="36" spans="7:12" ht="30" customHeight="1">
      <c r="G36" s="30"/>
      <c r="H36" s="20" t="s">
        <v>72</v>
      </c>
      <c r="I36" s="21" t="s">
        <v>75</v>
      </c>
      <c r="J36" s="21">
        <v>450</v>
      </c>
      <c r="K36" s="22" t="s">
        <v>76</v>
      </c>
      <c r="L36" s="155"/>
    </row>
    <row r="37" spans="7:12" ht="30" customHeight="1">
      <c r="G37" s="30"/>
      <c r="H37" s="20" t="s">
        <v>72</v>
      </c>
      <c r="I37" s="21" t="s">
        <v>77</v>
      </c>
      <c r="J37" s="21">
        <v>560</v>
      </c>
      <c r="K37" s="22" t="s">
        <v>78</v>
      </c>
      <c r="L37" s="155"/>
    </row>
    <row r="38" spans="7:12" ht="30" customHeight="1">
      <c r="G38" s="30"/>
      <c r="H38" s="20" t="s">
        <v>79</v>
      </c>
      <c r="I38" s="21" t="s">
        <v>80</v>
      </c>
      <c r="J38" s="21">
        <v>350</v>
      </c>
      <c r="K38" s="22" t="s">
        <v>81</v>
      </c>
      <c r="L38" s="155"/>
    </row>
    <row r="39" spans="7:12" ht="30" customHeight="1">
      <c r="G39" s="30"/>
      <c r="H39" s="20" t="s">
        <v>79</v>
      </c>
      <c r="I39" s="21" t="s">
        <v>82</v>
      </c>
      <c r="J39" s="21">
        <v>220</v>
      </c>
      <c r="K39" s="22" t="s">
        <v>83</v>
      </c>
      <c r="L39" s="155"/>
    </row>
    <row r="40" spans="7:12" ht="30" customHeight="1">
      <c r="G40" s="30"/>
      <c r="H40" s="20" t="s">
        <v>79</v>
      </c>
      <c r="I40" s="21" t="s">
        <v>84</v>
      </c>
      <c r="J40" s="21">
        <v>180</v>
      </c>
      <c r="K40" s="22" t="s">
        <v>85</v>
      </c>
      <c r="L40" s="155"/>
    </row>
    <row r="41" spans="7:12" ht="30" customHeight="1">
      <c r="G41" s="30"/>
      <c r="H41" s="23" t="s">
        <v>79</v>
      </c>
      <c r="I41" s="24" t="s">
        <v>86</v>
      </c>
      <c r="J41" s="24">
        <v>180</v>
      </c>
      <c r="K41" s="25" t="s">
        <v>87</v>
      </c>
      <c r="L41" s="155"/>
    </row>
    <row r="42" spans="7:12" ht="30" customHeight="1">
      <c r="G42" s="31"/>
      <c r="H42" s="26"/>
      <c r="I42" s="27"/>
      <c r="J42" s="27"/>
      <c r="K42" s="27"/>
      <c r="L42" s="156"/>
    </row>
    <row r="259" spans="5:7">
      <c r="E259" s="3" t="s">
        <v>6</v>
      </c>
    </row>
    <row r="260" spans="5:7">
      <c r="E260" s="3" t="s">
        <v>8</v>
      </c>
    </row>
    <row r="261" spans="5:7">
      <c r="E261" s="3" t="s">
        <v>10</v>
      </c>
      <c r="G261" s="2" t="s">
        <v>5</v>
      </c>
    </row>
    <row r="262" spans="5:7">
      <c r="E262" s="3" t="s">
        <v>12</v>
      </c>
      <c r="G262" s="2" t="s">
        <v>26</v>
      </c>
    </row>
    <row r="263" spans="5:7" ht="26.4">
      <c r="E263" s="3" t="s">
        <v>14</v>
      </c>
      <c r="G263" s="2" t="s">
        <v>40</v>
      </c>
    </row>
    <row r="264" spans="5:7" ht="26.4">
      <c r="E264" s="3" t="s">
        <v>16</v>
      </c>
      <c r="G264" s="2" t="s">
        <v>55</v>
      </c>
    </row>
    <row r="265" spans="5:7" ht="26.4">
      <c r="E265" s="3" t="s">
        <v>18</v>
      </c>
      <c r="G265" s="2" t="s">
        <v>72</v>
      </c>
    </row>
    <row r="266" spans="5:7" ht="26.4">
      <c r="E266" s="3" t="s">
        <v>20</v>
      </c>
      <c r="G266" s="2" t="s">
        <v>79</v>
      </c>
    </row>
    <row r="267" spans="5:7" ht="26.4">
      <c r="E267" s="3" t="s">
        <v>22</v>
      </c>
      <c r="G267" s="2" t="s">
        <v>88</v>
      </c>
    </row>
    <row r="268" spans="5:7" ht="26.4">
      <c r="E268" s="3" t="s">
        <v>24</v>
      </c>
    </row>
    <row r="269" spans="5:7" ht="26.4">
      <c r="E269" s="3" t="s">
        <v>27</v>
      </c>
      <c r="G269">
        <v>1</v>
      </c>
    </row>
    <row r="270" spans="5:7" ht="26.4">
      <c r="E270" s="3" t="s">
        <v>30</v>
      </c>
      <c r="G270">
        <v>2</v>
      </c>
    </row>
    <row r="271" spans="5:7" ht="26.4">
      <c r="E271" s="3" t="s">
        <v>32</v>
      </c>
      <c r="G271">
        <v>3</v>
      </c>
    </row>
    <row r="272" spans="5:7" ht="26.4">
      <c r="E272" s="3" t="s">
        <v>35</v>
      </c>
      <c r="G272">
        <v>4</v>
      </c>
    </row>
    <row r="273" spans="5:7" ht="26.4">
      <c r="E273" s="3" t="s">
        <v>37</v>
      </c>
      <c r="G273">
        <v>5</v>
      </c>
    </row>
    <row r="274" spans="5:7">
      <c r="E274" s="3" t="s">
        <v>41</v>
      </c>
      <c r="G274">
        <v>6</v>
      </c>
    </row>
    <row r="275" spans="5:7">
      <c r="E275" s="3" t="s">
        <v>43</v>
      </c>
      <c r="G275">
        <v>7</v>
      </c>
    </row>
    <row r="276" spans="5:7">
      <c r="E276" s="3" t="s">
        <v>45</v>
      </c>
      <c r="G276">
        <v>8</v>
      </c>
    </row>
    <row r="277" spans="5:7">
      <c r="E277" s="3" t="s">
        <v>47</v>
      </c>
      <c r="G277">
        <v>9</v>
      </c>
    </row>
    <row r="278" spans="5:7">
      <c r="E278" s="3" t="s">
        <v>49</v>
      </c>
    </row>
    <row r="279" spans="5:7" ht="26.4">
      <c r="E279" s="3" t="s">
        <v>51</v>
      </c>
    </row>
    <row r="280" spans="5:7" ht="26.4">
      <c r="E280" s="3" t="s">
        <v>53</v>
      </c>
    </row>
    <row r="281" spans="5:7">
      <c r="E281" s="3" t="s">
        <v>56</v>
      </c>
    </row>
    <row r="282" spans="5:7" ht="26.4">
      <c r="E282" s="3" t="s">
        <v>58</v>
      </c>
    </row>
    <row r="283" spans="5:7" ht="26.4">
      <c r="E283" s="3" t="s">
        <v>60</v>
      </c>
    </row>
    <row r="284" spans="5:7">
      <c r="E284" s="3" t="s">
        <v>62</v>
      </c>
    </row>
    <row r="285" spans="5:7">
      <c r="E285" s="3" t="s">
        <v>64</v>
      </c>
    </row>
    <row r="286" spans="5:7">
      <c r="E286" s="3" t="s">
        <v>66</v>
      </c>
    </row>
    <row r="287" spans="5:7" ht="26.4">
      <c r="E287" s="3" t="s">
        <v>68</v>
      </c>
    </row>
    <row r="288" spans="5:7" ht="26.4">
      <c r="E288" s="3" t="s">
        <v>70</v>
      </c>
    </row>
    <row r="289" spans="5:5">
      <c r="E289" s="3" t="s">
        <v>73</v>
      </c>
    </row>
    <row r="290" spans="5:5">
      <c r="E290" s="3" t="s">
        <v>75</v>
      </c>
    </row>
    <row r="291" spans="5:5">
      <c r="E291" s="3" t="s">
        <v>77</v>
      </c>
    </row>
    <row r="292" spans="5:5" ht="26.4">
      <c r="E292" s="3" t="s">
        <v>80</v>
      </c>
    </row>
    <row r="293" spans="5:5" ht="26.4">
      <c r="E293" s="3" t="s">
        <v>82</v>
      </c>
    </row>
    <row r="294" spans="5:5">
      <c r="E294" s="3" t="s">
        <v>84</v>
      </c>
    </row>
    <row r="295" spans="5:5">
      <c r="E295" s="5" t="s">
        <v>86</v>
      </c>
    </row>
    <row r="296" spans="5:5" ht="26.4">
      <c r="E296" s="3" t="s">
        <v>89</v>
      </c>
    </row>
    <row r="297" spans="5:5">
      <c r="E297" s="3" t="s">
        <v>90</v>
      </c>
    </row>
    <row r="298" spans="5:5">
      <c r="E298" s="3" t="s">
        <v>91</v>
      </c>
    </row>
    <row r="299" spans="5:5" ht="26.4">
      <c r="E299" s="3" t="s">
        <v>92</v>
      </c>
    </row>
    <row r="300" spans="5:5" ht="26.4">
      <c r="E300" s="3" t="s">
        <v>93</v>
      </c>
    </row>
    <row r="301" spans="5:5" ht="26.4">
      <c r="E301" s="3" t="s">
        <v>94</v>
      </c>
    </row>
    <row r="302" spans="5:5">
      <c r="E302" s="3" t="s">
        <v>95</v>
      </c>
    </row>
    <row r="303" spans="5:5" ht="26.4">
      <c r="E303" s="3" t="s">
        <v>96</v>
      </c>
    </row>
    <row r="308" spans="4:4">
      <c r="D308" s="1"/>
    </row>
    <row r="309" spans="4:4">
      <c r="D309" s="3">
        <v>450</v>
      </c>
    </row>
    <row r="310" spans="4:4">
      <c r="D310" s="3">
        <v>460</v>
      </c>
    </row>
    <row r="311" spans="4:4">
      <c r="D311" s="3">
        <v>340</v>
      </c>
    </row>
    <row r="312" spans="4:4">
      <c r="D312" s="3">
        <v>500</v>
      </c>
    </row>
    <row r="313" spans="4:4" hidden="1">
      <c r="D313" s="3"/>
    </row>
    <row r="314" spans="4:4">
      <c r="D314" s="3">
        <v>550</v>
      </c>
    </row>
    <row r="315" spans="4:4">
      <c r="D315" s="3">
        <v>420</v>
      </c>
    </row>
    <row r="316" spans="4:4" ht="15.75" customHeight="1">
      <c r="D316" s="3">
        <v>500</v>
      </c>
    </row>
    <row r="317" spans="4:4" ht="2.25" customHeight="1">
      <c r="D317" s="3"/>
    </row>
    <row r="318" spans="4:4" hidden="1">
      <c r="D318" s="3"/>
    </row>
    <row r="319" spans="4:4">
      <c r="D319" s="3">
        <v>650</v>
      </c>
    </row>
    <row r="320" spans="4:4" ht="3" hidden="1" customHeight="1">
      <c r="D320" s="3"/>
    </row>
    <row r="321" spans="4:4">
      <c r="D321" s="3">
        <v>700</v>
      </c>
    </row>
    <row r="322" spans="4:4" hidden="1">
      <c r="D322" s="3"/>
    </row>
    <row r="323" spans="4:4">
      <c r="D323" s="3">
        <v>600</v>
      </c>
    </row>
    <row r="324" spans="4:4">
      <c r="D324" s="3">
        <v>300</v>
      </c>
    </row>
    <row r="325" spans="4:4" ht="0.75" customHeight="1">
      <c r="D325" s="3"/>
    </row>
    <row r="326" spans="4:4" hidden="1">
      <c r="D326" s="3"/>
    </row>
    <row r="327" spans="4:4">
      <c r="D327" s="3">
        <v>400</v>
      </c>
    </row>
    <row r="328" spans="4:4" hidden="1">
      <c r="D328" s="3"/>
    </row>
    <row r="329" spans="4:4">
      <c r="D329" s="3">
        <v>280</v>
      </c>
    </row>
    <row r="330" spans="4:4" hidden="1">
      <c r="D330" s="3"/>
    </row>
    <row r="331" spans="4:4" hidden="1">
      <c r="D331" s="3"/>
    </row>
    <row r="332" spans="4:4">
      <c r="D332" s="3">
        <v>580</v>
      </c>
    </row>
    <row r="333" spans="4:4">
      <c r="D333" s="3">
        <v>550</v>
      </c>
    </row>
    <row r="334" spans="4:4" hidden="1">
      <c r="D334" s="3"/>
    </row>
    <row r="335" spans="4:4" hidden="1">
      <c r="D335" s="3"/>
    </row>
    <row r="336" spans="4:4" hidden="1">
      <c r="D336" s="3"/>
    </row>
    <row r="337" spans="4:4" ht="1.5" customHeight="1">
      <c r="D337" s="3"/>
    </row>
    <row r="338" spans="4:4" hidden="1">
      <c r="D338" s="3"/>
    </row>
    <row r="339" spans="4:4">
      <c r="D339" s="3">
        <v>290</v>
      </c>
    </row>
    <row r="340" spans="4:4" hidden="1">
      <c r="D340" s="3"/>
    </row>
    <row r="341" spans="4:4">
      <c r="D341" s="3">
        <v>560</v>
      </c>
    </row>
    <row r="342" spans="4:4">
      <c r="D342" s="3">
        <v>350</v>
      </c>
    </row>
    <row r="343" spans="4:4">
      <c r="D343" s="3">
        <v>220</v>
      </c>
    </row>
    <row r="344" spans="4:4">
      <c r="D344" s="3">
        <v>180</v>
      </c>
    </row>
    <row r="345" spans="4:4">
      <c r="D345" s="5">
        <v>180</v>
      </c>
    </row>
    <row r="346" spans="4:4">
      <c r="D346">
        <v>1000</v>
      </c>
    </row>
    <row r="347" spans="4:4">
      <c r="D347">
        <v>1050</v>
      </c>
    </row>
    <row r="348" spans="4:4">
      <c r="D348">
        <v>1100</v>
      </c>
    </row>
    <row r="349" spans="4:4">
      <c r="D349">
        <v>1500</v>
      </c>
    </row>
    <row r="350" spans="4:4">
      <c r="D350">
        <v>1650</v>
      </c>
    </row>
    <row r="351" spans="4:4">
      <c r="D351">
        <v>1700</v>
      </c>
    </row>
    <row r="352" spans="4:4">
      <c r="D352" s="4">
        <v>1700</v>
      </c>
    </row>
    <row r="353" spans="4:4">
      <c r="D353" s="4">
        <v>1800</v>
      </c>
    </row>
    <row r="354" spans="4:4">
      <c r="D354" s="2">
        <v>600</v>
      </c>
    </row>
    <row r="355" spans="4:4">
      <c r="D355" s="4">
        <v>2200</v>
      </c>
    </row>
    <row r="356" spans="4:4">
      <c r="D356" s="4">
        <v>1800</v>
      </c>
    </row>
    <row r="357" spans="4:4">
      <c r="D357" s="4">
        <v>1100</v>
      </c>
    </row>
    <row r="358" spans="4:4">
      <c r="D358" s="4">
        <v>1000</v>
      </c>
    </row>
    <row r="359" spans="4:4">
      <c r="D359" s="4">
        <v>2200</v>
      </c>
    </row>
  </sheetData>
  <autoFilter ref="O5" xr:uid="{00000000-0001-0000-0000-000000000000}"/>
  <mergeCells count="2">
    <mergeCell ref="G2:L2"/>
    <mergeCell ref="L5:L4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9889-7E8A-40F6-B8F8-257D161B383A}">
  <dimension ref="F1:L15"/>
  <sheetViews>
    <sheetView zoomScale="61" zoomScaleNormal="76" workbookViewId="0">
      <selection activeCell="O7" sqref="O7"/>
    </sheetView>
  </sheetViews>
  <sheetFormatPr defaultRowHeight="16.8"/>
  <cols>
    <col min="1" max="2" width="8.88671875" style="32"/>
    <col min="3" max="3" width="16.44140625" style="32" customWidth="1"/>
    <col min="4" max="4" width="21.109375" style="32" customWidth="1"/>
    <col min="5" max="5" width="20" style="32" customWidth="1"/>
    <col min="6" max="6" width="20.44140625" style="32" customWidth="1"/>
    <col min="7" max="9" width="25.6640625" style="32" customWidth="1"/>
    <col min="10" max="10" width="30.5546875" style="32" customWidth="1"/>
    <col min="11" max="11" width="0" style="32" hidden="1" customWidth="1"/>
    <col min="12" max="12" width="12.21875" style="32" customWidth="1"/>
    <col min="13" max="16384" width="8.88671875" style="32"/>
  </cols>
  <sheetData>
    <row r="1" spans="6:12">
      <c r="H1" s="33"/>
      <c r="I1" s="33"/>
      <c r="J1" s="33"/>
    </row>
    <row r="2" spans="6:12">
      <c r="H2" s="33"/>
      <c r="I2" s="33"/>
      <c r="J2" s="33"/>
    </row>
    <row r="3" spans="6:12" ht="45" customHeight="1">
      <c r="F3" s="157" t="s">
        <v>97</v>
      </c>
      <c r="G3" s="158"/>
      <c r="H3" s="158"/>
      <c r="I3" s="158"/>
      <c r="J3" s="158"/>
      <c r="K3" s="158"/>
      <c r="L3" s="159"/>
    </row>
    <row r="4" spans="6:12" ht="45" customHeight="1">
      <c r="F4" s="160"/>
      <c r="G4" s="161"/>
      <c r="H4" s="161"/>
      <c r="I4" s="161"/>
      <c r="J4" s="161"/>
      <c r="K4" s="161"/>
      <c r="L4" s="162"/>
    </row>
    <row r="5" spans="6:12" ht="45" customHeight="1">
      <c r="F5" s="34"/>
      <c r="G5" s="35" t="s">
        <v>1</v>
      </c>
      <c r="H5" s="36" t="s">
        <v>2</v>
      </c>
      <c r="I5" s="37" t="s">
        <v>98</v>
      </c>
      <c r="J5" s="38" t="s">
        <v>99</v>
      </c>
      <c r="K5" s="39"/>
      <c r="L5" s="40"/>
    </row>
    <row r="6" spans="6:12" ht="45" customHeight="1">
      <c r="F6" s="30"/>
      <c r="G6" s="41" t="s">
        <v>88</v>
      </c>
      <c r="H6" s="42" t="s">
        <v>89</v>
      </c>
      <c r="I6" s="43">
        <v>1700</v>
      </c>
      <c r="J6" s="44" t="s">
        <v>100</v>
      </c>
      <c r="K6" s="45"/>
      <c r="L6" s="46"/>
    </row>
    <row r="7" spans="6:12" ht="45" customHeight="1">
      <c r="F7" s="30"/>
      <c r="G7" s="47" t="s">
        <v>88</v>
      </c>
      <c r="H7" s="48" t="s">
        <v>90</v>
      </c>
      <c r="I7" s="49">
        <v>1800</v>
      </c>
      <c r="J7" s="50" t="s">
        <v>101</v>
      </c>
      <c r="K7" s="45"/>
      <c r="L7" s="46"/>
    </row>
    <row r="8" spans="6:12" ht="45" customHeight="1">
      <c r="F8" s="30"/>
      <c r="G8" s="47" t="s">
        <v>88</v>
      </c>
      <c r="H8" s="48" t="s">
        <v>91</v>
      </c>
      <c r="I8" s="51">
        <v>600</v>
      </c>
      <c r="J8" s="50" t="s">
        <v>102</v>
      </c>
      <c r="K8" s="45"/>
      <c r="L8" s="46"/>
    </row>
    <row r="9" spans="6:12" ht="45" customHeight="1">
      <c r="F9" s="30"/>
      <c r="G9" s="47" t="s">
        <v>88</v>
      </c>
      <c r="H9" s="48" t="s">
        <v>92</v>
      </c>
      <c r="I9" s="49">
        <v>2200</v>
      </c>
      <c r="J9" s="50" t="s">
        <v>103</v>
      </c>
      <c r="K9" s="45"/>
      <c r="L9" s="46"/>
    </row>
    <row r="10" spans="6:12" ht="45" customHeight="1">
      <c r="F10" s="30"/>
      <c r="G10" s="47" t="s">
        <v>88</v>
      </c>
      <c r="H10" s="48" t="s">
        <v>93</v>
      </c>
      <c r="I10" s="49">
        <v>1800</v>
      </c>
      <c r="J10" s="50" t="s">
        <v>104</v>
      </c>
      <c r="K10" s="45"/>
      <c r="L10" s="46"/>
    </row>
    <row r="11" spans="6:12" ht="45" customHeight="1">
      <c r="F11" s="30"/>
      <c r="G11" s="47" t="s">
        <v>88</v>
      </c>
      <c r="H11" s="48" t="s">
        <v>94</v>
      </c>
      <c r="I11" s="49">
        <v>1100</v>
      </c>
      <c r="J11" s="50" t="s">
        <v>105</v>
      </c>
      <c r="K11" s="52"/>
      <c r="L11" s="46"/>
    </row>
    <row r="12" spans="6:12" ht="45" customHeight="1">
      <c r="F12" s="30"/>
      <c r="G12" s="47" t="s">
        <v>88</v>
      </c>
      <c r="H12" s="48" t="s">
        <v>95</v>
      </c>
      <c r="I12" s="49">
        <v>1000</v>
      </c>
      <c r="J12" s="50" t="s">
        <v>106</v>
      </c>
      <c r="L12" s="46"/>
    </row>
    <row r="13" spans="6:12" ht="45" customHeight="1">
      <c r="F13" s="30"/>
      <c r="G13" s="53" t="s">
        <v>88</v>
      </c>
      <c r="H13" s="54" t="s">
        <v>96</v>
      </c>
      <c r="I13" s="55">
        <v>2200</v>
      </c>
      <c r="J13" s="56" t="s">
        <v>107</v>
      </c>
      <c r="L13" s="46"/>
    </row>
    <row r="14" spans="6:12">
      <c r="F14" s="30"/>
      <c r="G14" s="57"/>
      <c r="H14" s="57"/>
      <c r="I14" s="57"/>
      <c r="J14" s="57"/>
      <c r="K14" s="57"/>
      <c r="L14" s="46"/>
    </row>
    <row r="15" spans="6:12">
      <c r="F15" s="31"/>
      <c r="G15" s="58"/>
      <c r="H15" s="58"/>
      <c r="I15" s="58"/>
      <c r="J15" s="58"/>
      <c r="K15" s="58"/>
      <c r="L15" s="59"/>
    </row>
  </sheetData>
  <mergeCells count="1">
    <mergeCell ref="F3:L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549A-0F9B-4B8B-9416-1B3F47247818}">
  <dimension ref="D1:X38"/>
  <sheetViews>
    <sheetView topLeftCell="C2" zoomScale="57" zoomScaleNormal="54" workbookViewId="0">
      <selection activeCell="S22" sqref="S22"/>
    </sheetView>
  </sheetViews>
  <sheetFormatPr defaultRowHeight="16.8"/>
  <cols>
    <col min="1" max="6" width="8.88671875" style="32"/>
    <col min="7" max="17" width="25.6640625" style="32" customWidth="1"/>
    <col min="18" max="18" width="12.6640625" style="32" customWidth="1"/>
    <col min="19" max="19" width="18.44140625" style="32" customWidth="1"/>
    <col min="20" max="16384" width="8.88671875" style="32"/>
  </cols>
  <sheetData>
    <row r="1" spans="4:24" hidden="1"/>
    <row r="2" spans="4:24" ht="20.25" customHeight="1">
      <c r="F2" s="157" t="s">
        <v>108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9"/>
      <c r="S2" s="60"/>
      <c r="T2" s="60"/>
      <c r="U2" s="60"/>
      <c r="V2" s="60"/>
      <c r="W2" s="60"/>
      <c r="X2" s="60"/>
    </row>
    <row r="3" spans="4:24" ht="20.25" customHeight="1">
      <c r="F3" s="160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2"/>
      <c r="S3" s="60"/>
      <c r="T3" s="60"/>
      <c r="U3" s="60"/>
      <c r="V3" s="60"/>
      <c r="W3" s="60"/>
      <c r="X3" s="60"/>
    </row>
    <row r="4" spans="4:24" ht="55.8" customHeight="1">
      <c r="F4" s="160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2"/>
      <c r="V4" s="60"/>
      <c r="W4" s="60"/>
      <c r="X4" s="60"/>
    </row>
    <row r="5" spans="4:24" ht="36" hidden="1" customHeight="1">
      <c r="F5" s="34"/>
      <c r="G5" s="61" t="s">
        <v>190</v>
      </c>
      <c r="H5" s="62" t="s">
        <v>190</v>
      </c>
      <c r="I5" s="62" t="s">
        <v>191</v>
      </c>
      <c r="J5" s="63" t="s">
        <v>192</v>
      </c>
      <c r="K5" s="62" t="s">
        <v>193</v>
      </c>
      <c r="L5" s="62" t="s">
        <v>194</v>
      </c>
      <c r="M5" s="62" t="s">
        <v>195</v>
      </c>
      <c r="N5" s="64"/>
      <c r="O5" s="62"/>
      <c r="P5" s="63"/>
      <c r="Q5" s="62"/>
      <c r="R5" s="65"/>
      <c r="S5" s="66"/>
    </row>
    <row r="6" spans="4:24" ht="43.2" customHeight="1">
      <c r="F6" s="81"/>
      <c r="G6" s="198" t="s">
        <v>111</v>
      </c>
      <c r="H6" s="199" t="s">
        <v>109</v>
      </c>
      <c r="I6" s="199" t="s">
        <v>112</v>
      </c>
      <c r="J6" s="199" t="s">
        <v>1</v>
      </c>
      <c r="K6" s="199" t="s">
        <v>113</v>
      </c>
      <c r="L6" s="199" t="s">
        <v>114</v>
      </c>
      <c r="M6" s="199" t="s">
        <v>110</v>
      </c>
      <c r="N6" s="200" t="s">
        <v>1</v>
      </c>
      <c r="O6" s="199" t="s">
        <v>113</v>
      </c>
      <c r="P6" s="199" t="s">
        <v>114</v>
      </c>
      <c r="Q6" s="199" t="s">
        <v>115</v>
      </c>
      <c r="R6" s="82"/>
    </row>
    <row r="7" spans="4:24" ht="20.25" customHeight="1">
      <c r="F7" s="164"/>
      <c r="G7" s="132">
        <v>1</v>
      </c>
      <c r="H7" s="111" t="s">
        <v>116</v>
      </c>
      <c r="I7" s="135" t="s">
        <v>92</v>
      </c>
      <c r="J7" s="111" t="s">
        <v>88</v>
      </c>
      <c r="K7" s="111">
        <v>2</v>
      </c>
      <c r="L7" s="111">
        <v>1800</v>
      </c>
      <c r="M7" s="111" t="s">
        <v>77</v>
      </c>
      <c r="N7" s="110" t="s">
        <v>72</v>
      </c>
      <c r="O7" s="111">
        <v>1</v>
      </c>
      <c r="P7" s="111">
        <v>560</v>
      </c>
      <c r="Q7" s="117">
        <f>Table1[[#This Row],[Column4]]*Table1[[#This Row],[Column5]]</f>
        <v>3600</v>
      </c>
      <c r="R7" s="163"/>
    </row>
    <row r="8" spans="4:24" ht="20.25" customHeight="1">
      <c r="F8" s="164"/>
      <c r="G8" s="133">
        <v>2</v>
      </c>
      <c r="H8" s="118" t="s">
        <v>117</v>
      </c>
      <c r="I8" s="118" t="s">
        <v>16</v>
      </c>
      <c r="J8" s="118" t="s">
        <v>40</v>
      </c>
      <c r="K8" s="118">
        <v>1</v>
      </c>
      <c r="L8" s="118">
        <v>1050</v>
      </c>
      <c r="M8" s="118" t="s">
        <v>95</v>
      </c>
      <c r="N8" s="136" t="s">
        <v>119</v>
      </c>
      <c r="O8" s="118">
        <v>1</v>
      </c>
      <c r="P8" s="118">
        <v>1000</v>
      </c>
      <c r="Q8" s="119">
        <f>Table1[[#This Row],[Column4]]*Table1[[#This Row],[Column5]]+O8*P8</f>
        <v>2050</v>
      </c>
      <c r="R8" s="163"/>
    </row>
    <row r="9" spans="4:24" ht="20.25" customHeight="1">
      <c r="F9" s="164"/>
      <c r="G9" s="134">
        <v>3</v>
      </c>
      <c r="H9" s="137" t="s">
        <v>120</v>
      </c>
      <c r="I9" s="137" t="s">
        <v>8</v>
      </c>
      <c r="J9" s="137" t="s">
        <v>5</v>
      </c>
      <c r="K9" s="137">
        <v>2</v>
      </c>
      <c r="L9" s="137">
        <v>920</v>
      </c>
      <c r="M9" s="137" t="s">
        <v>91</v>
      </c>
      <c r="N9" s="138" t="s">
        <v>119</v>
      </c>
      <c r="O9" s="137">
        <v>1</v>
      </c>
      <c r="P9" s="137">
        <v>600</v>
      </c>
      <c r="Q9" s="139">
        <f>Table1[[#This Row],[Column4]]*Table1[[#This Row],[Column5]]+O9*P9</f>
        <v>2440</v>
      </c>
      <c r="R9" s="163"/>
    </row>
    <row r="10" spans="4:24" ht="20.25" customHeight="1">
      <c r="F10" s="164"/>
      <c r="G10" s="133">
        <v>4</v>
      </c>
      <c r="H10" s="118" t="s">
        <v>121</v>
      </c>
      <c r="I10" s="118" t="s">
        <v>89</v>
      </c>
      <c r="J10" s="118" t="s">
        <v>119</v>
      </c>
      <c r="K10" s="118">
        <v>1</v>
      </c>
      <c r="L10" s="118">
        <v>1700</v>
      </c>
      <c r="M10" s="118" t="s">
        <v>66</v>
      </c>
      <c r="N10" s="136" t="s">
        <v>55</v>
      </c>
      <c r="O10" s="118">
        <v>2</v>
      </c>
      <c r="P10" s="118">
        <v>800</v>
      </c>
      <c r="Q10" s="119">
        <f>Table1[[#This Row],[Column4]]*Table1[[#This Row],[Column5]]+O10*P10</f>
        <v>3300</v>
      </c>
      <c r="R10" s="163"/>
    </row>
    <row r="11" spans="4:24" ht="20.25" customHeight="1">
      <c r="F11" s="164"/>
      <c r="G11" s="134">
        <v>5</v>
      </c>
      <c r="H11" s="137" t="s">
        <v>122</v>
      </c>
      <c r="I11" s="137" t="s">
        <v>92</v>
      </c>
      <c r="J11" s="137" t="s">
        <v>119</v>
      </c>
      <c r="K11" s="137">
        <v>1</v>
      </c>
      <c r="L11" s="137">
        <v>2200</v>
      </c>
      <c r="M11" s="137" t="s">
        <v>10</v>
      </c>
      <c r="N11" s="138" t="s">
        <v>5</v>
      </c>
      <c r="O11" s="137">
        <v>1</v>
      </c>
      <c r="P11" s="137">
        <v>340</v>
      </c>
      <c r="Q11" s="139">
        <f>Table1[[#This Row],[Column4]]*Table1[[#This Row],[Column5]]+O11*P11</f>
        <v>2540</v>
      </c>
      <c r="R11" s="163"/>
    </row>
    <row r="12" spans="4:24" ht="20.25" customHeight="1">
      <c r="F12" s="164"/>
      <c r="G12" s="133">
        <v>6</v>
      </c>
      <c r="H12" s="118" t="s">
        <v>123</v>
      </c>
      <c r="I12" s="118" t="s">
        <v>93</v>
      </c>
      <c r="J12" s="118" t="s">
        <v>119</v>
      </c>
      <c r="K12" s="118">
        <v>1</v>
      </c>
      <c r="L12" s="118">
        <v>1800</v>
      </c>
      <c r="M12" s="118" t="s">
        <v>124</v>
      </c>
      <c r="N12" s="136" t="s">
        <v>55</v>
      </c>
      <c r="O12" s="118">
        <v>1</v>
      </c>
      <c r="P12" s="118">
        <v>580</v>
      </c>
      <c r="Q12" s="119">
        <f>Table1[[#This Row],[Column4]]*Table1[[#This Row],[Column5]]+O12*P12</f>
        <v>2380</v>
      </c>
      <c r="R12" s="163"/>
    </row>
    <row r="13" spans="4:24" ht="20.25" customHeight="1">
      <c r="F13" s="164"/>
      <c r="G13" s="134">
        <v>7</v>
      </c>
      <c r="H13" s="137" t="s">
        <v>125</v>
      </c>
      <c r="I13" s="137" t="s">
        <v>94</v>
      </c>
      <c r="J13" s="137" t="s">
        <v>119</v>
      </c>
      <c r="K13" s="137">
        <v>1</v>
      </c>
      <c r="L13" s="137">
        <v>1100</v>
      </c>
      <c r="M13" s="137" t="s">
        <v>75</v>
      </c>
      <c r="N13" s="138" t="s">
        <v>72</v>
      </c>
      <c r="O13" s="137">
        <v>2</v>
      </c>
      <c r="P13" s="137">
        <v>900</v>
      </c>
      <c r="Q13" s="139">
        <f>Table1[[#This Row],[Column4]]*Table1[[#This Row],[Column5]]+O13*P13</f>
        <v>2900</v>
      </c>
      <c r="R13" s="163"/>
    </row>
    <row r="14" spans="4:24" ht="20.25" customHeight="1">
      <c r="F14" s="164"/>
      <c r="G14" s="133">
        <v>8</v>
      </c>
      <c r="H14" s="118" t="s">
        <v>126</v>
      </c>
      <c r="I14" s="118" t="s">
        <v>96</v>
      </c>
      <c r="J14" s="118" t="s">
        <v>119</v>
      </c>
      <c r="K14" s="118">
        <v>1</v>
      </c>
      <c r="L14" s="118">
        <v>2200</v>
      </c>
      <c r="M14" s="118" t="s">
        <v>80</v>
      </c>
      <c r="N14" s="136" t="s">
        <v>79</v>
      </c>
      <c r="O14" s="118">
        <v>1</v>
      </c>
      <c r="P14" s="118">
        <v>350</v>
      </c>
      <c r="Q14" s="119">
        <f>Table1[[#This Row],[Column4]]*Table1[[#This Row],[Column5]]+O14*P14</f>
        <v>2550</v>
      </c>
      <c r="R14" s="163"/>
    </row>
    <row r="15" spans="4:24" ht="20.25" customHeight="1">
      <c r="D15" s="72"/>
      <c r="F15" s="164"/>
      <c r="G15" s="134">
        <v>9</v>
      </c>
      <c r="H15" s="137" t="s">
        <v>127</v>
      </c>
      <c r="I15" s="137" t="s">
        <v>12</v>
      </c>
      <c r="J15" s="137" t="s">
        <v>5</v>
      </c>
      <c r="K15" s="137">
        <v>2</v>
      </c>
      <c r="L15" s="137">
        <v>1000</v>
      </c>
      <c r="M15" s="137" t="s">
        <v>91</v>
      </c>
      <c r="N15" s="138" t="s">
        <v>119</v>
      </c>
      <c r="O15" s="137">
        <v>2</v>
      </c>
      <c r="P15" s="137">
        <v>1200</v>
      </c>
      <c r="Q15" s="139">
        <f>Table1[[#This Row],[Column4]]*Table1[[#This Row],[Column5]]+O15*P15</f>
        <v>4400</v>
      </c>
      <c r="R15" s="163"/>
    </row>
    <row r="16" spans="4:24" ht="20.25" customHeight="1">
      <c r="F16" s="164"/>
      <c r="G16" s="133">
        <v>10</v>
      </c>
      <c r="H16" s="118" t="s">
        <v>128</v>
      </c>
      <c r="I16" s="118" t="s">
        <v>129</v>
      </c>
      <c r="J16" s="118" t="s">
        <v>26</v>
      </c>
      <c r="K16" s="118">
        <v>1</v>
      </c>
      <c r="L16" s="118">
        <v>1750</v>
      </c>
      <c r="M16" s="118" t="s">
        <v>95</v>
      </c>
      <c r="N16" s="136" t="s">
        <v>119</v>
      </c>
      <c r="O16" s="118">
        <v>1</v>
      </c>
      <c r="P16" s="118">
        <v>1000</v>
      </c>
      <c r="Q16" s="119">
        <f>Table1[[#This Row],[Column4]]*Table1[[#This Row],[Column5]]+O16*P16</f>
        <v>2750</v>
      </c>
      <c r="R16" s="163"/>
    </row>
    <row r="17" spans="6:18" ht="20.25" customHeight="1">
      <c r="F17" s="164"/>
      <c r="G17" s="134">
        <v>11</v>
      </c>
      <c r="H17" s="137" t="s">
        <v>130</v>
      </c>
      <c r="I17" s="137" t="s">
        <v>90</v>
      </c>
      <c r="J17" s="137" t="s">
        <v>119</v>
      </c>
      <c r="K17" s="137">
        <v>1</v>
      </c>
      <c r="L17" s="137">
        <v>1800</v>
      </c>
      <c r="M17" s="137" t="s">
        <v>131</v>
      </c>
      <c r="N17" s="138" t="s">
        <v>55</v>
      </c>
      <c r="O17" s="137">
        <v>1</v>
      </c>
      <c r="P17" s="137">
        <v>600</v>
      </c>
      <c r="Q17" s="139">
        <f>Table1[[#This Row],[Column4]]*Table1[[#This Row],[Column5]]+O17*P17</f>
        <v>2400</v>
      </c>
      <c r="R17" s="163"/>
    </row>
    <row r="18" spans="6:18" ht="20.25" customHeight="1">
      <c r="F18" s="164"/>
      <c r="G18" s="133">
        <v>12</v>
      </c>
      <c r="H18" s="118" t="s">
        <v>132</v>
      </c>
      <c r="I18" s="118" t="s">
        <v>64</v>
      </c>
      <c r="J18" s="118" t="s">
        <v>55</v>
      </c>
      <c r="K18" s="118">
        <v>2</v>
      </c>
      <c r="L18" s="118">
        <v>1200</v>
      </c>
      <c r="M18" s="118" t="s">
        <v>43</v>
      </c>
      <c r="N18" s="136" t="s">
        <v>133</v>
      </c>
      <c r="O18" s="118">
        <v>2</v>
      </c>
      <c r="P18" s="118">
        <v>600</v>
      </c>
      <c r="Q18" s="119">
        <f>Table1[[#This Row],[Column4]]*Table1[[#This Row],[Column5]]+O18*P18</f>
        <v>3600</v>
      </c>
      <c r="R18" s="163"/>
    </row>
    <row r="19" spans="6:18" ht="20.25" customHeight="1">
      <c r="F19" s="164"/>
      <c r="G19" s="134">
        <v>13</v>
      </c>
      <c r="H19" s="137" t="s">
        <v>134</v>
      </c>
      <c r="I19" s="137" t="s">
        <v>89</v>
      </c>
      <c r="J19" s="137" t="s">
        <v>119</v>
      </c>
      <c r="K19" s="137">
        <v>1</v>
      </c>
      <c r="L19" s="137">
        <v>1700</v>
      </c>
      <c r="M19" s="137" t="s">
        <v>135</v>
      </c>
      <c r="N19" s="138" t="s">
        <v>55</v>
      </c>
      <c r="O19" s="137">
        <v>1</v>
      </c>
      <c r="P19" s="137">
        <v>550</v>
      </c>
      <c r="Q19" s="139">
        <f>Table1[[#This Row],[Column4]]*Table1[[#This Row],[Column5]]+O19*P19</f>
        <v>2250</v>
      </c>
      <c r="R19" s="163"/>
    </row>
    <row r="20" spans="6:18" ht="20.25" customHeight="1">
      <c r="F20" s="164"/>
      <c r="G20" s="133">
        <v>14</v>
      </c>
      <c r="H20" s="118" t="s">
        <v>136</v>
      </c>
      <c r="I20" s="118" t="s">
        <v>16</v>
      </c>
      <c r="J20" s="118" t="s">
        <v>5</v>
      </c>
      <c r="K20" s="118">
        <v>2</v>
      </c>
      <c r="L20" s="118">
        <v>1100</v>
      </c>
      <c r="M20" s="118" t="s">
        <v>77</v>
      </c>
      <c r="N20" s="136" t="s">
        <v>72</v>
      </c>
      <c r="O20" s="118">
        <v>1</v>
      </c>
      <c r="P20" s="118">
        <v>560</v>
      </c>
      <c r="Q20" s="119">
        <f>Table1[[#This Row],[Column4]]*Table1[[#This Row],[Column5]]+O20*P20</f>
        <v>2760</v>
      </c>
      <c r="R20" s="163"/>
    </row>
    <row r="21" spans="6:18" ht="20.25" customHeight="1">
      <c r="F21" s="164"/>
      <c r="G21" s="134">
        <v>15</v>
      </c>
      <c r="H21" s="137" t="s">
        <v>137</v>
      </c>
      <c r="I21" s="137" t="s">
        <v>92</v>
      </c>
      <c r="J21" s="137" t="s">
        <v>119</v>
      </c>
      <c r="K21" s="137">
        <v>1</v>
      </c>
      <c r="L21" s="137">
        <v>2200</v>
      </c>
      <c r="M21" s="137" t="s">
        <v>75</v>
      </c>
      <c r="N21" s="138" t="s">
        <v>72</v>
      </c>
      <c r="O21" s="137">
        <v>1</v>
      </c>
      <c r="P21" s="137">
        <v>450</v>
      </c>
      <c r="Q21" s="139">
        <f>Table1[[#This Row],[Column4]]*Table1[[#This Row],[Column5]]+O21*P21</f>
        <v>2650</v>
      </c>
      <c r="R21" s="163"/>
    </row>
    <row r="22" spans="6:18" ht="20.25" customHeight="1">
      <c r="F22" s="164"/>
      <c r="G22" s="133">
        <v>16</v>
      </c>
      <c r="H22" s="118" t="s">
        <v>138</v>
      </c>
      <c r="I22" s="118" t="s">
        <v>49</v>
      </c>
      <c r="J22" s="118" t="s">
        <v>133</v>
      </c>
      <c r="K22" s="118">
        <v>2</v>
      </c>
      <c r="L22" s="118">
        <v>900</v>
      </c>
      <c r="M22" s="118" t="s">
        <v>139</v>
      </c>
      <c r="N22" s="136" t="s">
        <v>55</v>
      </c>
      <c r="O22" s="118">
        <v>1</v>
      </c>
      <c r="P22" s="118">
        <v>500</v>
      </c>
      <c r="Q22" s="119">
        <f>Table1[[#This Row],[Column4]]*Table1[[#This Row],[Column5]]+O22*P22</f>
        <v>2300</v>
      </c>
      <c r="R22" s="163"/>
    </row>
    <row r="23" spans="6:18" ht="20.25" customHeight="1">
      <c r="F23" s="164"/>
      <c r="G23" s="134">
        <v>17</v>
      </c>
      <c r="H23" s="137" t="s">
        <v>140</v>
      </c>
      <c r="I23" s="137" t="s">
        <v>141</v>
      </c>
      <c r="J23" s="137" t="s">
        <v>26</v>
      </c>
      <c r="K23" s="137">
        <v>1</v>
      </c>
      <c r="L23" s="137">
        <v>1150</v>
      </c>
      <c r="M23" s="137" t="s">
        <v>94</v>
      </c>
      <c r="N23" s="138" t="s">
        <v>119</v>
      </c>
      <c r="O23" s="137">
        <v>1</v>
      </c>
      <c r="P23" s="137">
        <v>1100</v>
      </c>
      <c r="Q23" s="139">
        <f>Table1[[#This Row],[Column4]]*Table1[[#This Row],[Column5]]+O23*P23</f>
        <v>2250</v>
      </c>
      <c r="R23" s="163"/>
    </row>
    <row r="24" spans="6:18" ht="20.25" customHeight="1">
      <c r="F24" s="164"/>
      <c r="G24" s="133">
        <v>18</v>
      </c>
      <c r="H24" s="118" t="s">
        <v>142</v>
      </c>
      <c r="I24" s="118" t="s">
        <v>22</v>
      </c>
      <c r="J24" s="118" t="s">
        <v>5</v>
      </c>
      <c r="K24" s="118">
        <v>2</v>
      </c>
      <c r="L24" s="118">
        <v>1100</v>
      </c>
      <c r="M24" s="118" t="s">
        <v>91</v>
      </c>
      <c r="N24" s="136" t="s">
        <v>119</v>
      </c>
      <c r="O24" s="118">
        <v>1</v>
      </c>
      <c r="P24" s="118">
        <v>600</v>
      </c>
      <c r="Q24" s="119">
        <f>Table1[[#This Row],[Column4]]*Table1[[#This Row],[Column5]]+O24*P24</f>
        <v>2800</v>
      </c>
      <c r="R24" s="163"/>
    </row>
    <row r="25" spans="6:18" ht="20.25" customHeight="1">
      <c r="F25" s="164"/>
      <c r="G25" s="134">
        <v>19</v>
      </c>
      <c r="H25" s="137" t="s">
        <v>143</v>
      </c>
      <c r="I25" s="137" t="s">
        <v>62</v>
      </c>
      <c r="J25" s="137" t="s">
        <v>55</v>
      </c>
      <c r="K25" s="137">
        <v>1</v>
      </c>
      <c r="L25" s="137">
        <v>600</v>
      </c>
      <c r="M25" s="137" t="s">
        <v>93</v>
      </c>
      <c r="N25" s="138" t="s">
        <v>119</v>
      </c>
      <c r="O25" s="137">
        <v>1</v>
      </c>
      <c r="P25" s="137">
        <v>1800</v>
      </c>
      <c r="Q25" s="139">
        <f>Table1[[#This Row],[Column4]]*Table1[[#This Row],[Column5]]+O25*P25</f>
        <v>2400</v>
      </c>
      <c r="R25" s="163"/>
    </row>
    <row r="26" spans="6:18" ht="20.25" customHeight="1">
      <c r="F26" s="164"/>
      <c r="G26" s="133">
        <v>20</v>
      </c>
      <c r="H26" s="118" t="s">
        <v>144</v>
      </c>
      <c r="I26" s="118" t="s">
        <v>24</v>
      </c>
      <c r="J26" s="118" t="s">
        <v>5</v>
      </c>
      <c r="K26" s="118">
        <v>2</v>
      </c>
      <c r="L26" s="118">
        <v>900</v>
      </c>
      <c r="M26" s="118" t="s">
        <v>73</v>
      </c>
      <c r="N26" s="136" t="s">
        <v>72</v>
      </c>
      <c r="O26" s="118">
        <v>2</v>
      </c>
      <c r="P26" s="118">
        <v>580</v>
      </c>
      <c r="Q26" s="119">
        <f>Table1[[#This Row],[Column4]]*Table1[[#This Row],[Column5]]+O26*P26</f>
        <v>2960</v>
      </c>
      <c r="R26" s="163"/>
    </row>
    <row r="27" spans="6:18" ht="20.25" customHeight="1">
      <c r="F27" s="164"/>
      <c r="G27" s="134">
        <v>21</v>
      </c>
      <c r="H27" s="137" t="s">
        <v>145</v>
      </c>
      <c r="I27" s="137" t="s">
        <v>96</v>
      </c>
      <c r="J27" s="137" t="s">
        <v>119</v>
      </c>
      <c r="K27" s="137">
        <v>1</v>
      </c>
      <c r="L27" s="137">
        <v>2200</v>
      </c>
      <c r="M27" s="137" t="s">
        <v>64</v>
      </c>
      <c r="N27" s="138" t="s">
        <v>55</v>
      </c>
      <c r="O27" s="137">
        <v>1</v>
      </c>
      <c r="P27" s="137">
        <v>600</v>
      </c>
      <c r="Q27" s="139">
        <f>Table1[[#This Row],[Column4]]*Table1[[#This Row],[Column5]]+O27*P27</f>
        <v>2800</v>
      </c>
      <c r="R27" s="163"/>
    </row>
    <row r="28" spans="6:18" ht="20.25" customHeight="1">
      <c r="F28" s="164"/>
      <c r="G28" s="133">
        <v>22</v>
      </c>
      <c r="H28" s="118" t="s">
        <v>146</v>
      </c>
      <c r="I28" s="118" t="s">
        <v>90</v>
      </c>
      <c r="J28" s="118" t="s">
        <v>119</v>
      </c>
      <c r="K28" s="118">
        <v>1</v>
      </c>
      <c r="L28" s="118">
        <v>1800</v>
      </c>
      <c r="M28" s="118" t="s">
        <v>6</v>
      </c>
      <c r="N28" s="136" t="s">
        <v>5</v>
      </c>
      <c r="O28" s="118">
        <v>1</v>
      </c>
      <c r="P28" s="118">
        <v>450</v>
      </c>
      <c r="Q28" s="119">
        <f>Table1[[#This Row],[Column4]]*Table1[[#This Row],[Column5]]+O28*P28</f>
        <v>2250</v>
      </c>
      <c r="R28" s="163"/>
    </row>
    <row r="29" spans="6:18" ht="20.25" customHeight="1">
      <c r="F29" s="164"/>
      <c r="G29" s="134">
        <v>23</v>
      </c>
      <c r="H29" s="137" t="s">
        <v>147</v>
      </c>
      <c r="I29" s="137" t="s">
        <v>18</v>
      </c>
      <c r="J29" s="137" t="s">
        <v>5</v>
      </c>
      <c r="K29" s="137">
        <v>2</v>
      </c>
      <c r="L29" s="137">
        <v>840</v>
      </c>
      <c r="M29" s="137" t="s">
        <v>95</v>
      </c>
      <c r="N29" s="138" t="s">
        <v>119</v>
      </c>
      <c r="O29" s="137">
        <v>1</v>
      </c>
      <c r="P29" s="137">
        <v>1000</v>
      </c>
      <c r="Q29" s="139">
        <f>Table1[[#This Row],[Column4]]*Table1[[#This Row],[Column5]]+O29*P29</f>
        <v>2680</v>
      </c>
      <c r="R29" s="163"/>
    </row>
    <row r="30" spans="6:18" ht="20.25" customHeight="1">
      <c r="F30" s="164"/>
      <c r="G30" s="133">
        <v>24</v>
      </c>
      <c r="H30" s="118" t="s">
        <v>148</v>
      </c>
      <c r="I30" s="118" t="s">
        <v>92</v>
      </c>
      <c r="J30" s="118" t="s">
        <v>119</v>
      </c>
      <c r="K30" s="118">
        <v>1</v>
      </c>
      <c r="L30" s="118">
        <v>2200</v>
      </c>
      <c r="M30" s="118" t="s">
        <v>47</v>
      </c>
      <c r="N30" s="136" t="s">
        <v>133</v>
      </c>
      <c r="O30" s="118">
        <v>1</v>
      </c>
      <c r="P30" s="118">
        <v>400</v>
      </c>
      <c r="Q30" s="119">
        <f>Table1[[#This Row],[Column4]]*Table1[[#This Row],[Column5]]+O30*P30</f>
        <v>2600</v>
      </c>
      <c r="R30" s="163"/>
    </row>
    <row r="31" spans="6:18" ht="20.25" customHeight="1">
      <c r="F31" s="164"/>
      <c r="G31" s="134">
        <v>25</v>
      </c>
      <c r="H31" s="137" t="s">
        <v>149</v>
      </c>
      <c r="I31" s="137" t="s">
        <v>150</v>
      </c>
      <c r="J31" s="137" t="s">
        <v>26</v>
      </c>
      <c r="K31" s="137">
        <v>2</v>
      </c>
      <c r="L31" s="137">
        <v>1300</v>
      </c>
      <c r="M31" s="137" t="s">
        <v>94</v>
      </c>
      <c r="N31" s="138" t="s">
        <v>119</v>
      </c>
      <c r="O31" s="137">
        <v>1</v>
      </c>
      <c r="P31" s="137">
        <v>1100</v>
      </c>
      <c r="Q31" s="139">
        <f>Table1[[#This Row],[Column4]]*Table1[[#This Row],[Column5]]+O31*P31</f>
        <v>3700</v>
      </c>
      <c r="R31" s="163"/>
    </row>
    <row r="32" spans="6:18" ht="20.25" customHeight="1">
      <c r="F32" s="164"/>
      <c r="G32" s="133">
        <v>26</v>
      </c>
      <c r="H32" s="118" t="s">
        <v>151</v>
      </c>
      <c r="I32" s="118" t="s">
        <v>89</v>
      </c>
      <c r="J32" s="118" t="s">
        <v>119</v>
      </c>
      <c r="K32" s="118">
        <v>1</v>
      </c>
      <c r="L32" s="118">
        <v>1700</v>
      </c>
      <c r="M32" s="118" t="s">
        <v>77</v>
      </c>
      <c r="N32" s="136" t="s">
        <v>72</v>
      </c>
      <c r="O32" s="118">
        <v>2</v>
      </c>
      <c r="P32" s="118">
        <v>1120</v>
      </c>
      <c r="Q32" s="119">
        <f>Table1[[#This Row],[Column4]]*Table1[[#This Row],[Column5]]+O32*P32</f>
        <v>3940</v>
      </c>
      <c r="R32" s="163"/>
    </row>
    <row r="33" spans="6:18" ht="20.25" customHeight="1">
      <c r="F33" s="164"/>
      <c r="G33" s="134">
        <v>27</v>
      </c>
      <c r="H33" s="137" t="s">
        <v>152</v>
      </c>
      <c r="I33" s="137" t="s">
        <v>10</v>
      </c>
      <c r="J33" s="137" t="s">
        <v>5</v>
      </c>
      <c r="K33" s="137">
        <v>3</v>
      </c>
      <c r="L33" s="137">
        <v>1020</v>
      </c>
      <c r="M33" s="137" t="s">
        <v>91</v>
      </c>
      <c r="N33" s="138" t="s">
        <v>119</v>
      </c>
      <c r="O33" s="137">
        <v>1</v>
      </c>
      <c r="P33" s="137">
        <v>600</v>
      </c>
      <c r="Q33" s="139">
        <f>Table1[[#This Row],[Column4]]*Table1[[#This Row],[Column5]]+O33*P33</f>
        <v>3660</v>
      </c>
      <c r="R33" s="163"/>
    </row>
    <row r="34" spans="6:18" ht="20.25" customHeight="1">
      <c r="F34" s="164"/>
      <c r="G34" s="133">
        <v>28</v>
      </c>
      <c r="H34" s="118" t="s">
        <v>153</v>
      </c>
      <c r="I34" s="118" t="s">
        <v>95</v>
      </c>
      <c r="J34" s="118" t="s">
        <v>119</v>
      </c>
      <c r="K34" s="118">
        <v>2</v>
      </c>
      <c r="L34" s="118">
        <v>2000</v>
      </c>
      <c r="M34" s="118" t="s">
        <v>8</v>
      </c>
      <c r="N34" s="136" t="s">
        <v>5</v>
      </c>
      <c r="O34" s="118">
        <v>1</v>
      </c>
      <c r="P34" s="118">
        <v>460</v>
      </c>
      <c r="Q34" s="119">
        <f>Table1[[#This Row],[Column4]]*Table1[[#This Row],[Column5]]+O34*P34</f>
        <v>4460</v>
      </c>
      <c r="R34" s="163"/>
    </row>
    <row r="35" spans="6:18" ht="20.25" customHeight="1">
      <c r="F35" s="164"/>
      <c r="G35" s="134">
        <v>29</v>
      </c>
      <c r="H35" s="137" t="s">
        <v>154</v>
      </c>
      <c r="I35" s="137" t="s">
        <v>155</v>
      </c>
      <c r="J35" s="137" t="s">
        <v>26</v>
      </c>
      <c r="K35" s="137">
        <v>2</v>
      </c>
      <c r="L35" s="137">
        <v>1400</v>
      </c>
      <c r="M35" s="137" t="s">
        <v>94</v>
      </c>
      <c r="N35" s="138" t="s">
        <v>119</v>
      </c>
      <c r="O35" s="137">
        <v>1</v>
      </c>
      <c r="P35" s="137">
        <v>1100</v>
      </c>
      <c r="Q35" s="139">
        <f>Table1[[#This Row],[Column4]]*Table1[[#This Row],[Column5]]+O35*P35</f>
        <v>3900</v>
      </c>
      <c r="R35" s="163"/>
    </row>
    <row r="36" spans="6:18" ht="20.25" customHeight="1">
      <c r="F36" s="164"/>
      <c r="G36" s="133">
        <v>30</v>
      </c>
      <c r="H36" s="118" t="s">
        <v>156</v>
      </c>
      <c r="I36" s="118" t="s">
        <v>90</v>
      </c>
      <c r="J36" s="118" t="s">
        <v>119</v>
      </c>
      <c r="K36" s="118">
        <v>1</v>
      </c>
      <c r="L36" s="118">
        <v>1800</v>
      </c>
      <c r="M36" s="118" t="s">
        <v>77</v>
      </c>
      <c r="N36" s="136" t="s">
        <v>72</v>
      </c>
      <c r="O36" s="118">
        <v>1</v>
      </c>
      <c r="P36" s="118">
        <v>560</v>
      </c>
      <c r="Q36" s="119">
        <f>K36*L36+O36*P36</f>
        <v>2360</v>
      </c>
      <c r="R36" s="163"/>
    </row>
    <row r="37" spans="6:18">
      <c r="F37" s="164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3"/>
    </row>
    <row r="38" spans="6:18">
      <c r="F38" s="166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8"/>
    </row>
  </sheetData>
  <mergeCells count="4">
    <mergeCell ref="F2:R4"/>
    <mergeCell ref="R7:R36"/>
    <mergeCell ref="F7:F36"/>
    <mergeCell ref="F37:R38"/>
  </mergeCells>
  <dataValidations count="1">
    <dataValidation type="whole" allowBlank="1" showInputMessage="1" showErrorMessage="1" sqref="O8:O36" xr:uid="{906479AF-DAD7-4D95-B409-05777F37EFFE}">
      <formula1>1</formula1>
      <formula2>10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710BDEC-6610-4CFE-9353-FB8D4C9BBD5E}">
          <x14:formula1>
            <xm:f>Menu!$E$259:$E$303</xm:f>
          </x14:formula1>
          <xm:sqref>M7:M36 I7:I36</xm:sqref>
        </x14:dataValidation>
        <x14:dataValidation type="list" allowBlank="1" showInputMessage="1" showErrorMessage="1" xr:uid="{AA4E9127-E5D4-4C14-92D4-6716DB1B78C5}">
          <x14:formula1>
            <xm:f>Menu!$G$261:$G$267</xm:f>
          </x14:formula1>
          <xm:sqref>J7:J36</xm:sqref>
        </x14:dataValidation>
        <x14:dataValidation type="list" allowBlank="1" showInputMessage="1" showErrorMessage="1" xr:uid="{9304618E-A669-4D63-86D4-CAE2489B671B}">
          <x14:formula1>
            <xm:f>Menu!$G$269:$G$277</xm:f>
          </x14:formula1>
          <xm:sqref>K7:K36 O7</xm:sqref>
        </x14:dataValidation>
        <x14:dataValidation type="list" allowBlank="1" showInputMessage="1" showErrorMessage="1" xr:uid="{E7374087-709D-401D-98E6-21552A063823}">
          <x14:formula1>
            <xm:f>Menu!$D$309:$D$359</xm:f>
          </x14:formula1>
          <xm:sqref>L7:L36 P7:P36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2896-FEF2-44FC-B2A0-5962B9A221C0}">
  <dimension ref="D2:I12"/>
  <sheetViews>
    <sheetView topLeftCell="C1" workbookViewId="0">
      <selection activeCell="N18" sqref="N18"/>
    </sheetView>
  </sheetViews>
  <sheetFormatPr defaultRowHeight="16.8"/>
  <cols>
    <col min="1" max="4" width="8.88671875" style="32"/>
    <col min="5" max="8" width="25.6640625" style="32" customWidth="1"/>
    <col min="9" max="16384" width="8.88671875" style="32"/>
  </cols>
  <sheetData>
    <row r="2" spans="4:9" ht="24.75" customHeight="1">
      <c r="D2" s="157" t="s">
        <v>164</v>
      </c>
      <c r="E2" s="158"/>
      <c r="F2" s="158"/>
      <c r="G2" s="158"/>
      <c r="H2" s="158"/>
      <c r="I2" s="159"/>
    </row>
    <row r="3" spans="4:9" ht="24.75" customHeight="1">
      <c r="D3" s="160"/>
      <c r="E3" s="161"/>
      <c r="F3" s="161"/>
      <c r="G3" s="161"/>
      <c r="H3" s="161"/>
      <c r="I3" s="162"/>
    </row>
    <row r="4" spans="4:9" ht="24.75" customHeight="1">
      <c r="D4" s="81"/>
      <c r="E4" s="74" t="s">
        <v>189</v>
      </c>
      <c r="F4" s="74" t="s">
        <v>157</v>
      </c>
      <c r="G4" s="74" t="s">
        <v>158</v>
      </c>
      <c r="H4" s="74" t="s">
        <v>159</v>
      </c>
      <c r="I4" s="82"/>
    </row>
    <row r="5" spans="4:9" ht="1.5" hidden="1" customHeight="1">
      <c r="D5" s="67"/>
      <c r="E5" s="51" t="s">
        <v>2</v>
      </c>
      <c r="F5" s="51" t="s">
        <v>165</v>
      </c>
      <c r="G5" s="51" t="s">
        <v>160</v>
      </c>
      <c r="H5" s="51" t="s">
        <v>161</v>
      </c>
      <c r="I5" s="68"/>
    </row>
    <row r="6" spans="4:9" ht="24.75" customHeight="1">
      <c r="D6" s="30"/>
      <c r="E6" s="69" t="s">
        <v>129</v>
      </c>
      <c r="F6" s="69">
        <v>2</v>
      </c>
      <c r="G6" s="43">
        <v>1750</v>
      </c>
      <c r="H6" s="43">
        <f>Table3[[#This Row],[Total quantity]]*Table3[[#This Row],[Unit Price RS-/]]</f>
        <v>3500</v>
      </c>
      <c r="I6" s="12"/>
    </row>
    <row r="7" spans="4:9" ht="24.75" customHeight="1">
      <c r="D7" s="30"/>
      <c r="E7" s="70" t="s">
        <v>155</v>
      </c>
      <c r="F7" s="70">
        <v>3</v>
      </c>
      <c r="G7" s="70">
        <v>700</v>
      </c>
      <c r="H7" s="71">
        <f>Table3[[#This Row],[Total quantity]]*Table3[[#This Row],[Unit Price RS-/]]</f>
        <v>2100</v>
      </c>
      <c r="I7" s="12"/>
    </row>
    <row r="8" spans="4:9" ht="24.75" customHeight="1">
      <c r="D8" s="30"/>
      <c r="E8" s="69" t="s">
        <v>150</v>
      </c>
      <c r="F8" s="69">
        <v>2</v>
      </c>
      <c r="G8" s="69">
        <v>650</v>
      </c>
      <c r="H8" s="43">
        <f>Table3[[#This Row],[Total quantity]]*Table3[[#This Row],[Unit Price RS-/]]</f>
        <v>1300</v>
      </c>
      <c r="I8" s="12"/>
    </row>
    <row r="9" spans="4:9" ht="24.75" customHeight="1">
      <c r="D9" s="30"/>
      <c r="E9" s="70" t="s">
        <v>118</v>
      </c>
      <c r="F9" s="70">
        <v>1</v>
      </c>
      <c r="G9" s="71">
        <v>1050</v>
      </c>
      <c r="H9" s="71">
        <f>Table3[[#This Row],[Total quantity]]*Table3[[#This Row],[Unit Price RS-/]]</f>
        <v>1050</v>
      </c>
      <c r="I9" s="12"/>
    </row>
    <row r="10" spans="4:9" ht="24.75" customHeight="1">
      <c r="D10" s="30"/>
      <c r="E10" s="69" t="s">
        <v>141</v>
      </c>
      <c r="F10" s="69">
        <v>1</v>
      </c>
      <c r="G10" s="43">
        <v>1150</v>
      </c>
      <c r="H10" s="43">
        <f>Table3[[#This Row],[Total quantity]]*Table3[[#This Row],[Unit Price RS-/]]</f>
        <v>1150</v>
      </c>
      <c r="I10" s="12"/>
    </row>
    <row r="11" spans="4:9" ht="24.75" customHeight="1">
      <c r="D11" s="30"/>
      <c r="E11" s="70" t="s">
        <v>166</v>
      </c>
      <c r="F11" s="70">
        <v>1</v>
      </c>
      <c r="G11" s="71">
        <v>1650</v>
      </c>
      <c r="H11" s="71">
        <f>Table3[[#This Row],[Total quantity]]*Table3[[#This Row],[Unit Price RS-/]]</f>
        <v>1650</v>
      </c>
      <c r="I11" s="12"/>
    </row>
    <row r="12" spans="4:9" ht="24.75" customHeight="1">
      <c r="D12" s="83"/>
      <c r="E12" s="77" t="s">
        <v>167</v>
      </c>
      <c r="F12" s="77">
        <f>SUM(F6:F11)</f>
        <v>10</v>
      </c>
      <c r="G12" s="77"/>
      <c r="H12" s="84">
        <f>SUM(H6:H11)</f>
        <v>10750</v>
      </c>
      <c r="I12" s="85"/>
    </row>
  </sheetData>
  <mergeCells count="1">
    <mergeCell ref="D2:I3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7AF0-B9F3-4F16-8E2B-E5441EABBE3B}">
  <dimension ref="B1:G16"/>
  <sheetViews>
    <sheetView workbookViewId="0">
      <selection activeCell="H15" sqref="H15"/>
    </sheetView>
  </sheetViews>
  <sheetFormatPr defaultRowHeight="16.8"/>
  <cols>
    <col min="1" max="1" width="8.88671875" style="32"/>
    <col min="2" max="2" width="5.109375" style="32" customWidth="1"/>
    <col min="3" max="6" width="25.6640625" style="32" customWidth="1"/>
    <col min="7" max="16384" width="8.88671875" style="32"/>
  </cols>
  <sheetData>
    <row r="1" spans="2:7" ht="24.75" customHeight="1">
      <c r="B1" s="175" t="s">
        <v>40</v>
      </c>
      <c r="C1" s="176"/>
      <c r="D1" s="176"/>
      <c r="E1" s="176"/>
      <c r="F1" s="176"/>
      <c r="G1" s="177"/>
    </row>
    <row r="2" spans="2:7" ht="24.75" customHeight="1">
      <c r="B2" s="178"/>
      <c r="C2" s="179"/>
      <c r="D2" s="179"/>
      <c r="E2" s="179"/>
      <c r="F2" s="179"/>
      <c r="G2" s="180"/>
    </row>
    <row r="3" spans="2:7" ht="38.25" customHeight="1">
      <c r="B3" s="81"/>
      <c r="C3" s="86" t="s">
        <v>189</v>
      </c>
      <c r="D3" s="86" t="s">
        <v>157</v>
      </c>
      <c r="E3" s="86" t="s">
        <v>158</v>
      </c>
      <c r="F3" s="86" t="s">
        <v>159</v>
      </c>
      <c r="G3" s="82"/>
    </row>
    <row r="4" spans="2:7" ht="2.25" hidden="1" customHeight="1">
      <c r="B4" s="67"/>
      <c r="C4" s="87" t="s">
        <v>2</v>
      </c>
      <c r="D4" s="88" t="s">
        <v>165</v>
      </c>
      <c r="E4" s="87" t="s">
        <v>160</v>
      </c>
      <c r="F4" s="87" t="s">
        <v>161</v>
      </c>
      <c r="G4" s="68"/>
    </row>
    <row r="5" spans="2:7" ht="24.75" customHeight="1">
      <c r="B5" s="181"/>
      <c r="C5" s="89" t="s">
        <v>168</v>
      </c>
      <c r="D5" s="90">
        <v>5</v>
      </c>
      <c r="E5" s="89">
        <v>300</v>
      </c>
      <c r="F5" s="91">
        <f>D5*E5</f>
        <v>1500</v>
      </c>
      <c r="G5" s="46"/>
    </row>
    <row r="6" spans="2:7" ht="24.75" customHeight="1">
      <c r="B6" s="181"/>
      <c r="C6" s="92" t="s">
        <v>43</v>
      </c>
      <c r="D6" s="93">
        <v>6</v>
      </c>
      <c r="E6" s="92">
        <v>300</v>
      </c>
      <c r="F6" s="94">
        <f t="shared" ref="F6:F9" si="0">D6*E6</f>
        <v>1800</v>
      </c>
      <c r="G6" s="46"/>
    </row>
    <row r="7" spans="2:7" ht="24.75" customHeight="1">
      <c r="B7" s="181"/>
      <c r="C7" s="89" t="s">
        <v>45</v>
      </c>
      <c r="D7" s="90">
        <v>3</v>
      </c>
      <c r="E7" s="89">
        <v>400</v>
      </c>
      <c r="F7" s="91">
        <f t="shared" si="0"/>
        <v>1200</v>
      </c>
      <c r="G7" s="46"/>
    </row>
    <row r="8" spans="2:7" ht="24.75" customHeight="1">
      <c r="B8" s="181"/>
      <c r="C8" s="92" t="s">
        <v>47</v>
      </c>
      <c r="D8" s="93">
        <v>4</v>
      </c>
      <c r="E8" s="92">
        <v>400</v>
      </c>
      <c r="F8" s="94">
        <f t="shared" si="0"/>
        <v>1600</v>
      </c>
      <c r="G8" s="46"/>
    </row>
    <row r="9" spans="2:7" ht="24.75" customHeight="1">
      <c r="B9" s="181"/>
      <c r="C9" s="89" t="s">
        <v>49</v>
      </c>
      <c r="D9" s="90">
        <v>5</v>
      </c>
      <c r="E9" s="89">
        <v>450</v>
      </c>
      <c r="F9" s="91">
        <f t="shared" si="0"/>
        <v>2250</v>
      </c>
      <c r="G9" s="46"/>
    </row>
    <row r="10" spans="2:7" ht="24.75" customHeight="1">
      <c r="B10" s="95"/>
      <c r="C10" s="96" t="s">
        <v>169</v>
      </c>
      <c r="D10" s="97">
        <f>SUM(D5:D9)</f>
        <v>23</v>
      </c>
      <c r="E10" s="96" t="s">
        <v>163</v>
      </c>
      <c r="F10" s="98">
        <f>SUM(F5:F9)</f>
        <v>8350</v>
      </c>
      <c r="G10" s="99"/>
    </row>
    <row r="15" spans="2:7">
      <c r="D15" s="100"/>
    </row>
    <row r="16" spans="2:7">
      <c r="E16" s="101"/>
    </row>
  </sheetData>
  <mergeCells count="2">
    <mergeCell ref="B1:G2"/>
    <mergeCell ref="B5:B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C47D-FE65-40A8-922D-34B7459536B6}">
  <dimension ref="B1:I13"/>
  <sheetViews>
    <sheetView zoomScale="86" zoomScaleNormal="95" workbookViewId="0">
      <selection activeCell="D14" sqref="D14"/>
    </sheetView>
  </sheetViews>
  <sheetFormatPr defaultRowHeight="16.8"/>
  <cols>
    <col min="1" max="1" width="14.88671875" style="32" customWidth="1"/>
    <col min="2" max="2" width="13.88671875" style="32" customWidth="1"/>
    <col min="3" max="6" width="25.6640625" style="32" customWidth="1"/>
    <col min="7" max="7" width="13.5546875" style="32" customWidth="1"/>
    <col min="8" max="8" width="15" style="32" customWidth="1"/>
    <col min="9" max="9" width="15.44140625" style="32" customWidth="1"/>
    <col min="10" max="16384" width="8.88671875" style="32"/>
  </cols>
  <sheetData>
    <row r="1" spans="2:9" ht="24.75" customHeight="1">
      <c r="B1" s="169" t="s">
        <v>5</v>
      </c>
      <c r="C1" s="170"/>
      <c r="D1" s="170"/>
      <c r="E1" s="170"/>
      <c r="F1" s="170"/>
      <c r="G1" s="171"/>
      <c r="I1" s="73"/>
    </row>
    <row r="2" spans="2:9" ht="24.75" customHeight="1">
      <c r="B2" s="172"/>
      <c r="C2" s="173"/>
      <c r="D2" s="173"/>
      <c r="E2" s="173"/>
      <c r="F2" s="173"/>
      <c r="G2" s="174"/>
      <c r="I2" s="73"/>
    </row>
    <row r="3" spans="2:9" ht="13.5" customHeight="1">
      <c r="B3" s="172"/>
      <c r="C3" s="173"/>
      <c r="D3" s="173"/>
      <c r="E3" s="173"/>
      <c r="F3" s="173"/>
      <c r="G3" s="174"/>
      <c r="I3" s="73"/>
    </row>
    <row r="4" spans="2:9" ht="27.75" customHeight="1">
      <c r="B4" s="34"/>
      <c r="C4" s="74" t="s">
        <v>189</v>
      </c>
      <c r="D4" s="74" t="s">
        <v>157</v>
      </c>
      <c r="E4" s="74" t="s">
        <v>158</v>
      </c>
      <c r="F4" s="74" t="s">
        <v>159</v>
      </c>
      <c r="G4" s="40"/>
    </row>
    <row r="5" spans="2:9" ht="24.75" customHeight="1">
      <c r="B5" s="28"/>
      <c r="C5" s="48" t="s">
        <v>6</v>
      </c>
      <c r="D5" s="51">
        <v>2</v>
      </c>
      <c r="E5" s="48">
        <v>450</v>
      </c>
      <c r="F5" s="51">
        <f>D5*E5</f>
        <v>900</v>
      </c>
      <c r="G5" s="46"/>
    </row>
    <row r="6" spans="2:9" ht="24.75" customHeight="1">
      <c r="B6" s="28"/>
      <c r="C6" s="42" t="s">
        <v>8</v>
      </c>
      <c r="D6" s="69">
        <v>3</v>
      </c>
      <c r="E6" s="42">
        <v>460</v>
      </c>
      <c r="F6" s="69">
        <f t="shared" ref="F6:F12" si="0">D6*E6</f>
        <v>1380</v>
      </c>
      <c r="G6" s="46"/>
    </row>
    <row r="7" spans="2:9" ht="24.75" customHeight="1">
      <c r="B7" s="28"/>
      <c r="C7" s="48" t="s">
        <v>10</v>
      </c>
      <c r="D7" s="51">
        <v>4</v>
      </c>
      <c r="E7" s="48">
        <v>340</v>
      </c>
      <c r="F7" s="51">
        <f t="shared" si="0"/>
        <v>1360</v>
      </c>
      <c r="G7" s="46"/>
    </row>
    <row r="8" spans="2:9" ht="24.75" customHeight="1">
      <c r="B8" s="28"/>
      <c r="C8" s="42" t="s">
        <v>12</v>
      </c>
      <c r="D8" s="69">
        <v>3</v>
      </c>
      <c r="E8" s="42">
        <v>500</v>
      </c>
      <c r="F8" s="69">
        <f t="shared" si="0"/>
        <v>1500</v>
      </c>
      <c r="G8" s="46"/>
    </row>
    <row r="9" spans="2:9" ht="24.75" customHeight="1">
      <c r="B9" s="28"/>
      <c r="C9" s="48" t="s">
        <v>16</v>
      </c>
      <c r="D9" s="51">
        <v>2</v>
      </c>
      <c r="E9" s="48">
        <v>550</v>
      </c>
      <c r="F9" s="51">
        <f t="shared" si="0"/>
        <v>1100</v>
      </c>
      <c r="G9" s="46"/>
    </row>
    <row r="10" spans="2:9" ht="24.75" customHeight="1">
      <c r="B10" s="28"/>
      <c r="C10" s="42" t="s">
        <v>22</v>
      </c>
      <c r="D10" s="69">
        <v>2</v>
      </c>
      <c r="E10" s="42">
        <v>550</v>
      </c>
      <c r="F10" s="69">
        <f t="shared" si="0"/>
        <v>1100</v>
      </c>
      <c r="G10" s="46"/>
    </row>
    <row r="11" spans="2:9" ht="24.75" customHeight="1">
      <c r="B11" s="28"/>
      <c r="C11" s="48" t="s">
        <v>24</v>
      </c>
      <c r="D11" s="51">
        <v>2</v>
      </c>
      <c r="E11" s="48">
        <v>450</v>
      </c>
      <c r="F11" s="51">
        <f t="shared" si="0"/>
        <v>900</v>
      </c>
      <c r="G11" s="46"/>
    </row>
    <row r="12" spans="2:9" ht="24.75" customHeight="1">
      <c r="B12" s="28"/>
      <c r="C12" s="42" t="s">
        <v>18</v>
      </c>
      <c r="D12" s="69">
        <v>1</v>
      </c>
      <c r="E12" s="42">
        <v>420</v>
      </c>
      <c r="F12" s="69">
        <f t="shared" si="0"/>
        <v>420</v>
      </c>
      <c r="G12" s="46"/>
    </row>
    <row r="13" spans="2:9" ht="24.75" customHeight="1">
      <c r="B13" s="75"/>
      <c r="C13" s="76" t="s">
        <v>162</v>
      </c>
      <c r="D13" s="77">
        <f>SUM(D5:D12)</f>
        <v>19</v>
      </c>
      <c r="E13" s="78" t="s">
        <v>163</v>
      </c>
      <c r="F13" s="79">
        <f>SUM(F5:F12)</f>
        <v>8660</v>
      </c>
      <c r="G13" s="80"/>
    </row>
  </sheetData>
  <mergeCells count="1">
    <mergeCell ref="B1:G3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42B7-B2DE-4331-AA97-5391767E4488}">
  <dimension ref="B2:G14"/>
  <sheetViews>
    <sheetView workbookViewId="0">
      <selection activeCell="M15" sqref="M15"/>
    </sheetView>
  </sheetViews>
  <sheetFormatPr defaultRowHeight="16.8"/>
  <cols>
    <col min="1" max="2" width="8.88671875" style="32"/>
    <col min="3" max="6" width="25.6640625" style="32" customWidth="1"/>
    <col min="7" max="7" width="8.109375" style="32" customWidth="1"/>
    <col min="8" max="16384" width="8.88671875" style="32"/>
  </cols>
  <sheetData>
    <row r="2" spans="2:7" ht="24.75" customHeight="1">
      <c r="B2" s="182" t="s">
        <v>55</v>
      </c>
      <c r="C2" s="183"/>
      <c r="D2" s="183"/>
      <c r="E2" s="183"/>
      <c r="F2" s="183"/>
      <c r="G2" s="184"/>
    </row>
    <row r="3" spans="2:7" ht="24.75" customHeight="1">
      <c r="B3" s="185"/>
      <c r="C3" s="186"/>
      <c r="D3" s="186"/>
      <c r="E3" s="186"/>
      <c r="F3" s="186"/>
      <c r="G3" s="187"/>
    </row>
    <row r="4" spans="2:7" ht="24.75" customHeight="1">
      <c r="B4" s="102"/>
      <c r="C4" s="103" t="s">
        <v>189</v>
      </c>
      <c r="D4" s="103" t="s">
        <v>157</v>
      </c>
      <c r="E4" s="103" t="s">
        <v>158</v>
      </c>
      <c r="F4" s="103" t="s">
        <v>159</v>
      </c>
      <c r="G4" s="104"/>
    </row>
    <row r="5" spans="2:7" ht="24.75" hidden="1" customHeight="1">
      <c r="B5" s="105"/>
      <c r="C5" s="106" t="s">
        <v>2</v>
      </c>
      <c r="D5" s="107" t="s">
        <v>165</v>
      </c>
      <c r="E5" s="107" t="s">
        <v>160</v>
      </c>
      <c r="F5" s="106" t="s">
        <v>161</v>
      </c>
      <c r="G5" s="108"/>
    </row>
    <row r="6" spans="2:7" ht="24.75" customHeight="1">
      <c r="B6" s="109"/>
      <c r="C6" s="110" t="s">
        <v>139</v>
      </c>
      <c r="D6" s="111">
        <v>3</v>
      </c>
      <c r="E6" s="111">
        <v>500</v>
      </c>
      <c r="F6" s="112">
        <f>D6*E6</f>
        <v>1500</v>
      </c>
      <c r="G6" s="188"/>
    </row>
    <row r="7" spans="2:7" ht="24.75" customHeight="1">
      <c r="B7" s="109"/>
      <c r="C7" s="110" t="s">
        <v>58</v>
      </c>
      <c r="D7" s="111">
        <v>6</v>
      </c>
      <c r="E7" s="111">
        <v>580</v>
      </c>
      <c r="F7" s="112">
        <f t="shared" ref="F7:F11" si="0">D7*E7</f>
        <v>3480</v>
      </c>
      <c r="G7" s="188"/>
    </row>
    <row r="8" spans="2:7" ht="24.75" customHeight="1">
      <c r="B8" s="109"/>
      <c r="C8" s="110" t="s">
        <v>60</v>
      </c>
      <c r="D8" s="111">
        <v>4</v>
      </c>
      <c r="E8" s="111">
        <v>550</v>
      </c>
      <c r="F8" s="112">
        <f t="shared" si="0"/>
        <v>2200</v>
      </c>
      <c r="G8" s="188"/>
    </row>
    <row r="9" spans="2:7" ht="24.75" customHeight="1">
      <c r="B9" s="109"/>
      <c r="C9" s="110" t="s">
        <v>62</v>
      </c>
      <c r="D9" s="111">
        <v>2</v>
      </c>
      <c r="E9" s="111">
        <v>600</v>
      </c>
      <c r="F9" s="112">
        <f t="shared" si="0"/>
        <v>1200</v>
      </c>
      <c r="G9" s="188"/>
    </row>
    <row r="10" spans="2:7" ht="24.75" customHeight="1">
      <c r="B10" s="109"/>
      <c r="C10" s="110" t="s">
        <v>64</v>
      </c>
      <c r="D10" s="111">
        <v>2</v>
      </c>
      <c r="E10" s="111">
        <v>600</v>
      </c>
      <c r="F10" s="112">
        <f t="shared" si="0"/>
        <v>1200</v>
      </c>
      <c r="G10" s="188"/>
    </row>
    <row r="11" spans="2:7" ht="24.75" customHeight="1">
      <c r="B11" s="109"/>
      <c r="C11" s="110" t="s">
        <v>66</v>
      </c>
      <c r="D11" s="111">
        <v>5</v>
      </c>
      <c r="E11" s="111">
        <v>400</v>
      </c>
      <c r="F11" s="112">
        <f t="shared" si="0"/>
        <v>2000</v>
      </c>
      <c r="G11" s="188"/>
    </row>
    <row r="12" spans="2:7" ht="24.75" customHeight="1">
      <c r="B12" s="95"/>
      <c r="C12" s="78" t="s">
        <v>170</v>
      </c>
      <c r="D12" s="77">
        <f>SUM(D6:D11)</f>
        <v>22</v>
      </c>
      <c r="E12" s="77" t="s">
        <v>163</v>
      </c>
      <c r="F12" s="113">
        <f>SUM(F6:F11)</f>
        <v>11580</v>
      </c>
      <c r="G12" s="99"/>
    </row>
    <row r="13" spans="2:7" ht="24.75" customHeight="1"/>
    <row r="14" spans="2:7" ht="24.75" customHeight="1"/>
  </sheetData>
  <mergeCells count="2">
    <mergeCell ref="B2:G3"/>
    <mergeCell ref="G6:G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BE34-1602-422E-BDFF-E1C3F0CCE065}">
  <dimension ref="C2:H18"/>
  <sheetViews>
    <sheetView topLeftCell="B1" workbookViewId="0">
      <selection activeCell="M12" sqref="M12"/>
    </sheetView>
  </sheetViews>
  <sheetFormatPr defaultRowHeight="16.8"/>
  <cols>
    <col min="1" max="3" width="8.88671875" style="32"/>
    <col min="4" max="7" width="25.6640625" style="32" customWidth="1"/>
    <col min="8" max="16384" width="8.88671875" style="32"/>
  </cols>
  <sheetData>
    <row r="2" spans="3:8" ht="46.5" customHeight="1">
      <c r="C2" s="189" t="s">
        <v>79</v>
      </c>
      <c r="D2" s="190"/>
      <c r="E2" s="190"/>
      <c r="F2" s="190"/>
      <c r="G2" s="190"/>
      <c r="H2" s="191"/>
    </row>
    <row r="3" spans="3:8" ht="24.75" customHeight="1">
      <c r="C3" s="114"/>
      <c r="D3" s="115" t="s">
        <v>2</v>
      </c>
      <c r="E3" s="115" t="s">
        <v>165</v>
      </c>
      <c r="F3" s="115" t="s">
        <v>160</v>
      </c>
      <c r="G3" s="115" t="s">
        <v>161</v>
      </c>
      <c r="H3" s="116"/>
    </row>
    <row r="4" spans="3:8" ht="24.75" customHeight="1">
      <c r="C4" s="109"/>
      <c r="D4" s="111" t="s">
        <v>80</v>
      </c>
      <c r="E4" s="111">
        <v>4</v>
      </c>
      <c r="F4" s="111">
        <v>350</v>
      </c>
      <c r="G4" s="117">
        <f>Table5[[#This Row],[Total Quantity]]*Table5[[#This Row],[Unit Price (Rs.)]]</f>
        <v>1400</v>
      </c>
      <c r="H4" s="188"/>
    </row>
    <row r="5" spans="3:8" ht="24.75" customHeight="1">
      <c r="C5" s="109"/>
      <c r="D5" s="118" t="s">
        <v>82</v>
      </c>
      <c r="E5" s="118">
        <v>6</v>
      </c>
      <c r="F5" s="118">
        <v>220</v>
      </c>
      <c r="G5" s="119">
        <f>Table5[[#This Row],[Total Quantity]]*Table5[[#This Row],[Unit Price (Rs.)]]</f>
        <v>1320</v>
      </c>
      <c r="H5" s="188"/>
    </row>
    <row r="6" spans="3:8" ht="24.75" customHeight="1">
      <c r="C6" s="109"/>
      <c r="D6" s="111" t="s">
        <v>84</v>
      </c>
      <c r="E6" s="111">
        <v>5</v>
      </c>
      <c r="F6" s="111">
        <v>180</v>
      </c>
      <c r="G6" s="117">
        <f>Table5[[#This Row],[Total Quantity]]*Table5[[#This Row],[Unit Price (Rs.)]]</f>
        <v>900</v>
      </c>
      <c r="H6" s="188"/>
    </row>
    <row r="7" spans="3:8" ht="24.75" customHeight="1">
      <c r="C7" s="109"/>
      <c r="D7" s="118" t="s">
        <v>86</v>
      </c>
      <c r="E7" s="118">
        <v>5</v>
      </c>
      <c r="F7" s="118">
        <v>180</v>
      </c>
      <c r="G7" s="119">
        <f>Table5[[#This Row],[Total Quantity]]*Table5[[#This Row],[Unit Price (Rs.)]]</f>
        <v>900</v>
      </c>
      <c r="H7" s="188"/>
    </row>
    <row r="8" spans="3:8" ht="24.75" customHeight="1">
      <c r="C8" s="95"/>
      <c r="D8" s="77" t="s">
        <v>171</v>
      </c>
      <c r="E8" s="77">
        <f>SUM(E4:E7)</f>
        <v>20</v>
      </c>
      <c r="F8" s="77" t="s">
        <v>163</v>
      </c>
      <c r="G8" s="84">
        <f>SUM(G4:G7)</f>
        <v>4520</v>
      </c>
      <c r="H8" s="99"/>
    </row>
    <row r="18" spans="6:6">
      <c r="F18" s="120"/>
    </row>
  </sheetData>
  <mergeCells count="2">
    <mergeCell ref="C2:H2"/>
    <mergeCell ref="H4:H7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96A8-1FC2-46DC-BEA3-3A6B8EA34E3A}">
  <dimension ref="B2:G9"/>
  <sheetViews>
    <sheetView workbookViewId="0">
      <selection activeCell="G17" sqref="G17"/>
    </sheetView>
  </sheetViews>
  <sheetFormatPr defaultRowHeight="16.8"/>
  <cols>
    <col min="1" max="2" width="8.88671875" style="32"/>
    <col min="3" max="6" width="25.6640625" style="32" customWidth="1"/>
    <col min="7" max="16384" width="8.88671875" style="32"/>
  </cols>
  <sheetData>
    <row r="2" spans="2:7" ht="24.75" customHeight="1">
      <c r="B2" s="189" t="s">
        <v>72</v>
      </c>
      <c r="C2" s="190"/>
      <c r="D2" s="190"/>
      <c r="E2" s="190"/>
      <c r="F2" s="190"/>
      <c r="G2" s="191"/>
    </row>
    <row r="3" spans="2:7" ht="24.75" customHeight="1">
      <c r="B3" s="192"/>
      <c r="C3" s="193"/>
      <c r="D3" s="193"/>
      <c r="E3" s="193"/>
      <c r="F3" s="193"/>
      <c r="G3" s="194"/>
    </row>
    <row r="4" spans="2:7" ht="24.75" customHeight="1">
      <c r="B4" s="81"/>
      <c r="C4" s="121" t="s">
        <v>189</v>
      </c>
      <c r="D4" s="122" t="s">
        <v>157</v>
      </c>
      <c r="E4" s="122" t="s">
        <v>158</v>
      </c>
      <c r="F4" s="123" t="s">
        <v>159</v>
      </c>
      <c r="G4" s="82"/>
    </row>
    <row r="5" spans="2:7" ht="24.75" customHeight="1">
      <c r="B5" s="30"/>
      <c r="C5" s="41" t="s">
        <v>73</v>
      </c>
      <c r="D5" s="69">
        <v>5</v>
      </c>
      <c r="E5" s="69">
        <v>290</v>
      </c>
      <c r="F5" s="124">
        <f>Table4[[#This Row],[Total quantity]]*Table4[[#This Row],[Unit Price RS-/]]</f>
        <v>1450</v>
      </c>
      <c r="G5" s="12"/>
    </row>
    <row r="6" spans="2:7" ht="24.75" customHeight="1">
      <c r="B6" s="30"/>
      <c r="C6" s="41" t="s">
        <v>75</v>
      </c>
      <c r="D6" s="69">
        <v>6</v>
      </c>
      <c r="E6" s="69">
        <v>450</v>
      </c>
      <c r="F6" s="124">
        <f>Table4[[#This Row],[Total quantity]]*Table4[[#This Row],[Unit Price RS-/]]</f>
        <v>2700</v>
      </c>
      <c r="G6" s="12"/>
    </row>
    <row r="7" spans="2:7" ht="24.75" customHeight="1">
      <c r="B7" s="30"/>
      <c r="C7" s="41" t="s">
        <v>77</v>
      </c>
      <c r="D7" s="69">
        <v>8</v>
      </c>
      <c r="E7" s="69">
        <v>560</v>
      </c>
      <c r="F7" s="124">
        <f>Table4[[#This Row],[Total quantity]]*Table4[[#This Row],[Unit Price RS-/]]</f>
        <v>4480</v>
      </c>
      <c r="G7" s="12"/>
    </row>
    <row r="8" spans="2:7" ht="24.75" customHeight="1">
      <c r="B8" s="95"/>
      <c r="C8" s="125" t="s">
        <v>162</v>
      </c>
      <c r="D8" s="126">
        <f>SUM(D5:D7)</f>
        <v>19</v>
      </c>
      <c r="E8" s="126"/>
      <c r="F8" s="127">
        <f>SUM(F5:F7)</f>
        <v>8630</v>
      </c>
      <c r="G8" s="128"/>
    </row>
    <row r="9" spans="2:7">
      <c r="B9" s="57"/>
      <c r="C9" s="57"/>
      <c r="D9" s="57"/>
      <c r="E9" s="57"/>
      <c r="F9" s="57"/>
      <c r="G9" s="57"/>
    </row>
  </sheetData>
  <mergeCells count="1">
    <mergeCell ref="B2:G3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7096-C244-4612-BF5C-A8A5F1879965}">
  <dimension ref="D2:I12"/>
  <sheetViews>
    <sheetView topLeftCell="C1" workbookViewId="0">
      <selection activeCell="O15" sqref="O15"/>
    </sheetView>
  </sheetViews>
  <sheetFormatPr defaultRowHeight="16.8"/>
  <cols>
    <col min="1" max="4" width="8.88671875" style="32"/>
    <col min="5" max="8" width="25.6640625" style="32" customWidth="1"/>
    <col min="9" max="16384" width="8.88671875" style="32"/>
  </cols>
  <sheetData>
    <row r="2" spans="4:9" ht="45" customHeight="1">
      <c r="D2" s="189" t="s">
        <v>172</v>
      </c>
      <c r="E2" s="190"/>
      <c r="F2" s="190"/>
      <c r="G2" s="190"/>
      <c r="H2" s="190"/>
      <c r="I2" s="191"/>
    </row>
    <row r="3" spans="4:9" ht="24.75" customHeight="1">
      <c r="D3" s="81"/>
      <c r="E3" s="129" t="s">
        <v>2</v>
      </c>
      <c r="F3" s="129" t="s">
        <v>165</v>
      </c>
      <c r="G3" s="129" t="s">
        <v>160</v>
      </c>
      <c r="H3" s="129" t="s">
        <v>161</v>
      </c>
      <c r="I3" s="40"/>
    </row>
    <row r="4" spans="4:9" ht="24.75" customHeight="1">
      <c r="D4" s="30"/>
      <c r="E4" s="130" t="s">
        <v>90</v>
      </c>
      <c r="F4" s="130">
        <v>5</v>
      </c>
      <c r="G4" s="131">
        <v>1800</v>
      </c>
      <c r="H4" s="131">
        <f>F4*G4</f>
        <v>9000</v>
      </c>
      <c r="I4" s="155"/>
    </row>
    <row r="5" spans="4:9" ht="24.75" customHeight="1">
      <c r="D5" s="30"/>
      <c r="E5" s="130" t="s">
        <v>91</v>
      </c>
      <c r="F5" s="130">
        <v>5</v>
      </c>
      <c r="G5" s="130">
        <v>600</v>
      </c>
      <c r="H5" s="131">
        <f t="shared" ref="H5:H11" si="0">F5*G5</f>
        <v>3000</v>
      </c>
      <c r="I5" s="155"/>
    </row>
    <row r="6" spans="4:9" ht="24.75" customHeight="1">
      <c r="D6" s="30"/>
      <c r="E6" s="130" t="s">
        <v>94</v>
      </c>
      <c r="F6" s="130">
        <v>4</v>
      </c>
      <c r="G6" s="131">
        <v>1100</v>
      </c>
      <c r="H6" s="131">
        <f t="shared" si="0"/>
        <v>4400</v>
      </c>
      <c r="I6" s="155"/>
    </row>
    <row r="7" spans="4:9" ht="24.75" customHeight="1">
      <c r="D7" s="30"/>
      <c r="E7" s="130" t="s">
        <v>95</v>
      </c>
      <c r="F7" s="130">
        <v>4</v>
      </c>
      <c r="G7" s="131">
        <v>1000</v>
      </c>
      <c r="H7" s="131">
        <f t="shared" si="0"/>
        <v>4000</v>
      </c>
      <c r="I7" s="155"/>
    </row>
    <row r="8" spans="4:9" ht="24.75" customHeight="1">
      <c r="D8" s="30"/>
      <c r="E8" s="130" t="s">
        <v>92</v>
      </c>
      <c r="F8" s="130">
        <v>3</v>
      </c>
      <c r="G8" s="131">
        <v>2200</v>
      </c>
      <c r="H8" s="131">
        <f t="shared" si="0"/>
        <v>6600</v>
      </c>
      <c r="I8" s="155"/>
    </row>
    <row r="9" spans="4:9" ht="24.75" customHeight="1">
      <c r="D9" s="30"/>
      <c r="E9" s="130" t="s">
        <v>89</v>
      </c>
      <c r="F9" s="130">
        <v>3</v>
      </c>
      <c r="G9" s="131">
        <v>1700</v>
      </c>
      <c r="H9" s="131">
        <f t="shared" si="0"/>
        <v>5100</v>
      </c>
      <c r="I9" s="155"/>
    </row>
    <row r="10" spans="4:9" ht="24.75" customHeight="1">
      <c r="D10" s="30"/>
      <c r="E10" s="130" t="s">
        <v>93</v>
      </c>
      <c r="F10" s="130">
        <v>2</v>
      </c>
      <c r="G10" s="131">
        <v>1800</v>
      </c>
      <c r="H10" s="131">
        <f t="shared" si="0"/>
        <v>3600</v>
      </c>
      <c r="I10" s="155"/>
    </row>
    <row r="11" spans="4:9" ht="24.75" customHeight="1">
      <c r="D11" s="30"/>
      <c r="E11" s="130" t="s">
        <v>96</v>
      </c>
      <c r="F11" s="130">
        <v>2</v>
      </c>
      <c r="G11" s="131">
        <v>2200</v>
      </c>
      <c r="H11" s="131">
        <f t="shared" si="0"/>
        <v>4400</v>
      </c>
      <c r="I11" s="155"/>
    </row>
    <row r="12" spans="4:9" ht="24.75" customHeight="1">
      <c r="D12" s="95"/>
      <c r="E12" s="77" t="s">
        <v>173</v>
      </c>
      <c r="F12" s="77">
        <f>SUM(F4:F11)</f>
        <v>28</v>
      </c>
      <c r="G12" s="77"/>
      <c r="H12" s="84">
        <f>SUM(H4:H11)</f>
        <v>40100</v>
      </c>
      <c r="I12" s="99"/>
    </row>
  </sheetData>
  <mergeCells count="2">
    <mergeCell ref="D2:I2"/>
    <mergeCell ref="I4:I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839-D1CD-4235-9926-F47BD69AD6D2}">
  <dimension ref="B1:M23"/>
  <sheetViews>
    <sheetView zoomScale="62" zoomScaleNormal="100" workbookViewId="0">
      <selection activeCell="M22" sqref="M22"/>
    </sheetView>
  </sheetViews>
  <sheetFormatPr defaultRowHeight="16.8"/>
  <cols>
    <col min="1" max="1" width="13.88671875" style="32" customWidth="1"/>
    <col min="2" max="2" width="11.44140625" style="32" customWidth="1"/>
    <col min="3" max="3" width="19" style="32" customWidth="1"/>
    <col min="4" max="4" width="18.77734375" style="32" customWidth="1"/>
    <col min="5" max="8" width="25.6640625" style="32" customWidth="1"/>
    <col min="9" max="9" width="17.5546875" style="32" customWidth="1"/>
    <col min="10" max="10" width="11.77734375" style="32" customWidth="1"/>
    <col min="11" max="16384" width="8.88671875" style="32"/>
  </cols>
  <sheetData>
    <row r="1" spans="2:13" ht="14.4" customHeight="1">
      <c r="B1" s="195" t="s">
        <v>179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pans="2:13" ht="14.4" customHeight="1"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</row>
    <row r="3" spans="2:13" ht="14.4" customHeight="1"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2:13" ht="14.4" customHeight="1"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</row>
    <row r="5" spans="2:13" ht="106.2" customHeight="1">
      <c r="B5" s="196"/>
      <c r="C5" s="196"/>
      <c r="D5" s="196"/>
      <c r="E5" s="141" t="s">
        <v>196</v>
      </c>
      <c r="F5" s="140">
        <v>30</v>
      </c>
      <c r="G5" s="141" t="s">
        <v>197</v>
      </c>
      <c r="H5" s="142" t="s">
        <v>180</v>
      </c>
      <c r="I5" s="197"/>
      <c r="J5" s="197"/>
      <c r="K5" s="197"/>
      <c r="L5" s="197"/>
      <c r="M5" s="197"/>
    </row>
    <row r="6" spans="2:13" ht="42.6" customHeight="1">
      <c r="B6" s="196"/>
      <c r="C6" s="196"/>
      <c r="D6" s="196"/>
      <c r="E6" s="143" t="s">
        <v>184</v>
      </c>
      <c r="F6" s="144" t="s">
        <v>181</v>
      </c>
      <c r="G6" s="143" t="s">
        <v>182</v>
      </c>
      <c r="H6" s="144" t="s">
        <v>183</v>
      </c>
      <c r="I6" s="197"/>
      <c r="J6" s="197"/>
      <c r="K6" s="197"/>
      <c r="L6" s="197"/>
      <c r="M6" s="197"/>
    </row>
    <row r="7" spans="2:13" ht="58.2" customHeight="1"/>
    <row r="8" spans="2:13" ht="48" customHeight="1">
      <c r="D8" s="189" t="s">
        <v>178</v>
      </c>
      <c r="E8" s="190"/>
      <c r="F8" s="190"/>
      <c r="G8" s="190"/>
      <c r="H8" s="190"/>
      <c r="I8" s="191"/>
    </row>
    <row r="9" spans="2:13" ht="24.75" customHeight="1">
      <c r="D9" s="34"/>
      <c r="E9" s="145" t="s">
        <v>1</v>
      </c>
      <c r="F9" s="145" t="s">
        <v>174</v>
      </c>
      <c r="G9" s="145" t="s">
        <v>175</v>
      </c>
      <c r="H9" s="146" t="s">
        <v>185</v>
      </c>
      <c r="I9" s="40"/>
    </row>
    <row r="10" spans="2:13" ht="24.75" customHeight="1">
      <c r="D10" s="147"/>
      <c r="E10" s="111" t="s">
        <v>172</v>
      </c>
      <c r="F10" s="111">
        <f>Burgers!D13</f>
        <v>19</v>
      </c>
      <c r="G10" s="117">
        <f>'Combo Deals'!H12</f>
        <v>40100</v>
      </c>
      <c r="H10" s="112" t="s">
        <v>186</v>
      </c>
      <c r="I10" s="148"/>
    </row>
    <row r="11" spans="2:13" ht="24.75" customHeight="1">
      <c r="D11" s="147"/>
      <c r="E11" s="111" t="s">
        <v>55</v>
      </c>
      <c r="F11" s="111">
        <v>22</v>
      </c>
      <c r="G11" s="117">
        <f>Starters!F12</f>
        <v>11580</v>
      </c>
      <c r="H11" s="117" t="s">
        <v>187</v>
      </c>
      <c r="I11" s="148"/>
      <c r="K11" s="149"/>
    </row>
    <row r="12" spans="2:13" ht="24.75" customHeight="1">
      <c r="D12" s="147"/>
      <c r="E12" s="111" t="s">
        <v>26</v>
      </c>
      <c r="F12" s="111">
        <f>Pizza!F12</f>
        <v>10</v>
      </c>
      <c r="G12" s="117">
        <f>Pizza!H12</f>
        <v>10750</v>
      </c>
      <c r="H12" s="117" t="s">
        <v>188</v>
      </c>
      <c r="I12" s="148"/>
    </row>
    <row r="13" spans="2:13" ht="24.75" customHeight="1">
      <c r="D13" s="147"/>
      <c r="E13" s="111" t="s">
        <v>5</v>
      </c>
      <c r="F13" s="111">
        <f>Burgers!D13</f>
        <v>19</v>
      </c>
      <c r="G13" s="117">
        <f>Burgers!F13</f>
        <v>8660</v>
      </c>
      <c r="H13" s="117" t="s">
        <v>10</v>
      </c>
      <c r="I13" s="148"/>
    </row>
    <row r="14" spans="2:13" ht="24.75" customHeight="1">
      <c r="D14" s="147"/>
      <c r="E14" s="111" t="s">
        <v>40</v>
      </c>
      <c r="F14" s="111">
        <f>'Rolls and Warps'!D10</f>
        <v>23</v>
      </c>
      <c r="G14" s="117">
        <f>'Rolls and Warps'!F10</f>
        <v>8350</v>
      </c>
      <c r="H14" s="117" t="s">
        <v>43</v>
      </c>
      <c r="I14" s="148"/>
    </row>
    <row r="15" spans="2:13" ht="24.75" customHeight="1">
      <c r="D15" s="147"/>
      <c r="E15" s="111" t="s">
        <v>72</v>
      </c>
      <c r="F15" s="111">
        <f>Fries!D8</f>
        <v>19</v>
      </c>
      <c r="G15" s="117">
        <v>5590</v>
      </c>
      <c r="H15" s="117" t="s">
        <v>77</v>
      </c>
      <c r="I15" s="148"/>
    </row>
    <row r="16" spans="2:13" ht="24.75" customHeight="1">
      <c r="D16" s="147"/>
      <c r="E16" s="111" t="s">
        <v>176</v>
      </c>
      <c r="F16" s="111">
        <v>20</v>
      </c>
      <c r="G16" s="117">
        <f>'Light Veg'!G8</f>
        <v>4520</v>
      </c>
      <c r="H16" s="117" t="s">
        <v>82</v>
      </c>
      <c r="I16" s="148"/>
    </row>
    <row r="17" spans="4:11" ht="24.75" customHeight="1">
      <c r="D17" s="95"/>
      <c r="E17" s="77" t="s">
        <v>177</v>
      </c>
      <c r="F17" s="77">
        <f>SUM(F10:F16)</f>
        <v>132</v>
      </c>
      <c r="G17" s="84">
        <f>SUM(G10:G16)</f>
        <v>89550</v>
      </c>
      <c r="H17" s="150"/>
      <c r="I17" s="99"/>
    </row>
    <row r="23" spans="4:11">
      <c r="K23" s="120"/>
    </row>
  </sheetData>
  <mergeCells count="4">
    <mergeCell ref="B1:M4"/>
    <mergeCell ref="B5:D6"/>
    <mergeCell ref="I5:M6"/>
    <mergeCell ref="D8:I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Menu</vt:lpstr>
      <vt:lpstr>Deals</vt:lpstr>
      <vt:lpstr>Orders</vt:lpstr>
      <vt:lpstr>Pizza</vt:lpstr>
      <vt:lpstr>Rolls and Warps</vt:lpstr>
      <vt:lpstr>Burgers</vt:lpstr>
      <vt:lpstr>Starters</vt:lpstr>
      <vt:lpstr>Light Veg</vt:lpstr>
      <vt:lpstr>Fries</vt:lpstr>
      <vt:lpstr>Combo Deals</vt:lpstr>
      <vt:lpstr>Business</vt:lpstr>
      <vt:lpstr>Burgers</vt:lpstr>
      <vt:lpstr>Fries</vt:lpstr>
      <vt:lpstr>Light</vt:lpstr>
      <vt:lpstr>Pizzas</vt:lpstr>
      <vt:lpstr>Rolls</vt:lpstr>
      <vt:lpstr>Starters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Muhammad Taha</cp:lastModifiedBy>
  <cp:revision/>
  <dcterms:created xsi:type="dcterms:W3CDTF">2026-01-01T11:22:36Z</dcterms:created>
  <dcterms:modified xsi:type="dcterms:W3CDTF">2026-01-07T15:25:56Z</dcterms:modified>
  <cp:category/>
  <cp:contentStatus/>
</cp:coreProperties>
</file>